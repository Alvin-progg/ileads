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1"/>
  </bookViews>
  <sheets>
    <sheet sheetId="2" name="Class Results" state="visible" r:id="rId4"/>
    <sheet sheetId="6" name="School Summary" state="visible" r:id="rId5"/>
  </sheets>
  <definedNames>
    <definedName name="_xlnm.Print_Area" localSheetId="1">'School Summary'!$ANaN:$KNaN</definedName>
  </definedNames>
  <calcPr calcId="171027"/>
</workbook>
</file>

<file path=xl/sharedStrings.xml><?xml version="1.0" encoding="utf-8"?>
<sst xmlns="http://schemas.openxmlformats.org/spreadsheetml/2006/main" count="199" uniqueCount="88">
  <si>
    <t>RMA2v2</t>
  </si>
  <si>
    <t>School Rapid Mathematics Assessment Results</t>
  </si>
  <si>
    <t>SCHOOL ID :</t>
  </si>
  <si>
    <t>Medium of Instruction (MOI)</t>
  </si>
  <si>
    <t>SCHOOL NAME:</t>
  </si>
  <si>
    <t>PANAY ELEMENTARY SCHOOL</t>
  </si>
  <si>
    <t>Grade 1</t>
  </si>
  <si>
    <t>Grade 2</t>
  </si>
  <si>
    <t>Grade 3</t>
  </si>
  <si>
    <t>Tagalog</t>
  </si>
  <si>
    <t>Grade</t>
  </si>
  <si>
    <t xml:space="preserve">Language Matched
( LOI vs Learners)</t>
  </si>
  <si>
    <t>Number of Learners Assessed</t>
  </si>
  <si>
    <t>Total Enrolment</t>
  </si>
  <si>
    <t>Number of Learners with Correct Answers &gt;=75</t>
  </si>
  <si>
    <t>Status</t>
  </si>
  <si>
    <t>Section</t>
  </si>
  <si>
    <t>Sex</t>
  </si>
  <si>
    <t>Emerging (Not Proficient)</t>
  </si>
  <si>
    <t>Emerging (Low Proficient)</t>
  </si>
  <si>
    <t>Developing (Nearly Proficient)</t>
  </si>
  <si>
    <t>Transitioning (Proficient)</t>
  </si>
  <si>
    <t>At Grade Level (Highly Proficient)</t>
  </si>
  <si>
    <t>Task A</t>
  </si>
  <si>
    <t>Task B</t>
  </si>
  <si>
    <t>Task C</t>
  </si>
  <si>
    <t>Task D</t>
  </si>
  <si>
    <t>Task E</t>
  </si>
  <si>
    <t>Task F</t>
  </si>
  <si>
    <t>Task G</t>
  </si>
  <si>
    <t>Task H</t>
  </si>
  <si>
    <t>Task I</t>
  </si>
  <si>
    <t>Task J</t>
  </si>
  <si>
    <t>Task K</t>
  </si>
  <si>
    <t>Average Overall Score</t>
  </si>
  <si>
    <t>Language</t>
  </si>
  <si>
    <t>Akeanon</t>
  </si>
  <si>
    <t>Bahasa Sug</t>
  </si>
  <si>
    <t>Bikol Libon</t>
  </si>
  <si>
    <t>Buhi-non</t>
  </si>
  <si>
    <t>Central Bikol</t>
  </si>
  <si>
    <t>Chavacano</t>
  </si>
  <si>
    <t>Caluyanen</t>
  </si>
  <si>
    <t>Cuyonon</t>
  </si>
  <si>
    <t>English</t>
  </si>
  <si>
    <t>Hiligaynon</t>
  </si>
  <si>
    <t>Ibanag</t>
  </si>
  <si>
    <t>Ilocano</t>
  </si>
  <si>
    <t>Inabaknon</t>
  </si>
  <si>
    <t>Ivatan</t>
  </si>
  <si>
    <t>Kapampangan</t>
  </si>
  <si>
    <t>Kinaray-a - Antique</t>
  </si>
  <si>
    <t>Kinaray-a - Iloilo</t>
  </si>
  <si>
    <t>Magindanawn</t>
  </si>
  <si>
    <t xml:space="preserve">Meranaw </t>
  </si>
  <si>
    <t>Minasbate</t>
  </si>
  <si>
    <t>Miraya</t>
  </si>
  <si>
    <t>Northern Catanduanes</t>
  </si>
  <si>
    <t>Southern Catanduanes</t>
  </si>
  <si>
    <t>Pangasinan</t>
  </si>
  <si>
    <t>Rinconada</t>
  </si>
  <si>
    <t xml:space="preserve">Sambal </t>
  </si>
  <si>
    <t>Sinugbuanong Binisaya</t>
  </si>
  <si>
    <t>Northern Sorsoganon</t>
  </si>
  <si>
    <t>Southern Sorsoganon</t>
  </si>
  <si>
    <t>Surigaonon</t>
  </si>
  <si>
    <t>Waray</t>
  </si>
  <si>
    <t>West Albay Bikol</t>
  </si>
  <si>
    <t>Yakan</t>
  </si>
  <si>
    <t>Other MT</t>
  </si>
  <si>
    <t>School Rapid Mathematics Assessment  Summary</t>
  </si>
  <si>
    <t>Male</t>
  </si>
  <si>
    <t>Female</t>
  </si>
  <si>
    <t xml:space="preserve"> </t>
  </si>
  <si>
    <t>SCHOOL NAME</t>
  </si>
  <si>
    <t>Total Score</t>
  </si>
  <si>
    <t>Number of Learners Who Passed 75% Per Task by Grade Level</t>
  </si>
  <si>
    <t>Total Items</t>
  </si>
  <si>
    <t>Total</t>
  </si>
  <si>
    <t>TOTAL</t>
  </si>
  <si>
    <t>Percentage of Learners Who Passed 75% Per Task by Grade Level</t>
  </si>
  <si>
    <t>Total Grade 1</t>
  </si>
  <si>
    <t>Total Grade 2</t>
  </si>
  <si>
    <t>Total Grade 3</t>
  </si>
  <si>
    <t>Total Learners</t>
  </si>
  <si>
    <t>% of Learners Assessed</t>
  </si>
  <si>
    <t>% of Leaners who Passed  75% per Task by Grade Level</t>
  </si>
  <si>
    <t>OverAll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</si>
</sst>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olor theme="0"/>
      <family val="2"/>
      <scheme val="minor"/>
      <sz val="11"/>
      <name val="Calibri"/>
    </font>
    <font>
      <b/>
      <color theme="0"/>
      <family val="2"/>
      <sz val="12"/>
      <name val="Arial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theme="1"/>
      <family val="2"/>
      <scheme val="minor"/>
      <sz val="9"/>
      <name val="Calibri"/>
    </font>
    <font>
      <b/>
      <color theme="1"/>
      <family val="2"/>
      <scheme val="minor"/>
      <sz val="8"/>
      <name val="Calibri"/>
    </font>
    <font>
      <color theme="0" tint="-0.3499862666707358"/>
      <family val="2"/>
      <scheme val="minor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medium"/>
      <right/>
      <top style="medium"/>
      <bottom style="thin"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medium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thin"/>
      <top style="medium"/>
      <bottom style="thin"/>
      <diagonal/>
    </border>
    <border>
      <left style="medium"/>
      <right style="medium"/>
      <top style="medium"/>
      <bottom style="thin"/>
      <diagonal/>
    </border>
    <border>
      <left style="medium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medium"/>
      <diagonal/>
    </border>
    <border>
      <left/>
      <right style="medium"/>
      <top style="thin"/>
      <bottom/>
      <diagonal/>
    </border>
    <border>
      <left style="medium"/>
      <right style="medium"/>
      <top style="thin"/>
      <bottom/>
      <diagonal/>
    </border>
    <border>
      <left style="medium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 style="thin"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 style="thin"/>
      <right style="thin"/>
      <top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thin"/>
      <top style="medium"/>
      <bottom style="medium"/>
      <diagonal/>
    </border>
    <border>
      <left style="medium"/>
      <right style="thin"/>
      <top style="thin"/>
      <bottom/>
      <diagonal/>
    </border>
  </borders>
  <cellStyleXfs count="1">
    <xf numFmtId="0" fontId="0" fillId="0" borderId="0"/>
  </cellStyleXfs>
  <cellXfs count="161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0" fillId="0" borderId="0" xfId="0" applyAlignment="1" applyProtection="1">
      <alignment horizontal="left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3" fillId="3" borderId="11" xfId="0" applyFont="1" applyFill="1" applyBorder="1" applyAlignment="1" applyProtection="1">
      <alignment horizontal="center"/>
      <protection hidden="1"/>
    </xf>
    <xf numFmtId="0" fontId="3" fillId="3" borderId="12" xfId="0" applyFont="1" applyFill="1" applyBorder="1" applyAlignment="1" applyProtection="1">
      <alignment horizontal="center"/>
      <protection hidden="1"/>
    </xf>
    <xf numFmtId="0" fontId="4" fillId="3" borderId="13" xfId="0" applyFont="1" applyFill="1" applyBorder="1" applyAlignment="1" applyProtection="1">
      <alignment horizontal="center" wrapText="1"/>
      <protection hidden="1"/>
    </xf>
    <xf numFmtId="0" fontId="4" fillId="3" borderId="13" xfId="0" applyFont="1" applyFill="1" applyBorder="1" applyAlignment="1" applyProtection="1">
      <alignment horizontal="center" vertical="center" wrapText="1"/>
      <protection hidden="1"/>
    </xf>
    <xf numFmtId="0" fontId="4" fillId="3" borderId="12" xfId="0" applyFont="1" applyFill="1" applyBorder="1" applyAlignment="1" applyProtection="1">
      <alignment horizontal="center" vertical="center" wrapText="1"/>
      <protection hidden="1"/>
    </xf>
    <xf numFmtId="0" fontId="3" fillId="3" borderId="14" xfId="0" applyFont="1" applyFill="1" applyBorder="1" applyAlignment="1" applyProtection="1">
      <alignment horizontal="center" vertical="center" wrapText="1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3" borderId="15" xfId="0" applyFont="1" applyFill="1" applyBorder="1" applyAlignment="1" applyProtection="1">
      <alignment horizontal="center" vertical="center" wrapText="1"/>
      <protection hidden="1"/>
    </xf>
    <xf numFmtId="0" fontId="3" fillId="3" borderId="13" xfId="0" applyFont="1" applyFill="1" applyBorder="1" applyAlignment="1" applyProtection="1">
      <alignment horizontal="center" wrapText="1"/>
      <protection hidden="1"/>
    </xf>
    <xf numFmtId="0" fontId="3" fillId="3" borderId="3" xfId="0" applyFont="1" applyFill="1" applyBorder="1" applyAlignment="1" applyProtection="1">
      <alignment horizontal="center" wrapText="1"/>
      <protection hidden="1"/>
    </xf>
    <xf numFmtId="0" fontId="4" fillId="3" borderId="16" xfId="0" applyFont="1" applyFill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3" fillId="3" borderId="17" xfId="0" applyFont="1" applyFill="1" applyBorder="1" applyAlignment="1" applyProtection="1">
      <alignment horizontal="center"/>
      <protection hidden="1"/>
    </xf>
    <xf numFmtId="0" fontId="3" fillId="3" borderId="18" xfId="0" applyFont="1" applyFill="1" applyBorder="1" applyAlignment="1" applyProtection="1">
      <alignment horizontal="center"/>
      <protection hidden="1"/>
    </xf>
    <xf numFmtId="0" fontId="4" fillId="3" borderId="19" xfId="0" applyFont="1" applyFill="1" applyBorder="1" applyAlignment="1" applyProtection="1">
      <alignment horizontal="center" wrapText="1"/>
      <protection hidden="1"/>
    </xf>
    <xf numFmtId="0" fontId="4" fillId="3" borderId="19" xfId="0" applyFont="1" applyFill="1" applyBorder="1" applyAlignment="1" applyProtection="1">
      <alignment horizontal="center" vertical="center" wrapText="1"/>
      <protection hidden="1"/>
    </xf>
    <xf numFmtId="0" fontId="4" fillId="3" borderId="20" xfId="0" applyFont="1" applyFill="1" applyBorder="1" applyAlignment="1" applyProtection="1">
      <alignment horizontal="center" vertical="center" wrapText="1"/>
      <protection hidden="1"/>
    </xf>
    <xf numFmtId="0" fontId="5" fillId="3" borderId="21" xfId="0" applyFont="1" applyFill="1" applyBorder="1" applyAlignment="1" applyProtection="1">
      <alignment horizontal="center" vertical="center" wrapText="1"/>
      <protection hidden="1"/>
    </xf>
    <xf numFmtId="0" fontId="4" fillId="3" borderId="6" xfId="0" applyFont="1" applyFill="1" applyBorder="1" applyAlignment="1" applyProtection="1">
      <alignment horizontal="center" vertical="center" wrapText="1"/>
      <protection hidden="1"/>
    </xf>
    <xf numFmtId="0" fontId="4" fillId="3" borderId="22" xfId="0" applyFont="1" applyFill="1" applyBorder="1" applyAlignment="1" applyProtection="1">
      <alignment horizontal="center" vertical="center" wrapText="1"/>
      <protection hidden="1"/>
    </xf>
    <xf numFmtId="0" fontId="4" fillId="3" borderId="23" xfId="0" applyFont="1" applyFill="1" applyBorder="1" applyAlignment="1" applyProtection="1">
      <alignment horizontal="center" vertical="center" wrapText="1"/>
      <protection hidden="1"/>
    </xf>
    <xf numFmtId="0" fontId="0" fillId="0" borderId="24" xfId="0" applyBorder="1" applyAlignment="1" applyProtection="1">
      <alignment vertical="center"/>
      <protection locked="0" hidden="1"/>
    </xf>
    <xf numFmtId="0" fontId="0" fillId="0" borderId="13" xfId="0" applyBorder="1" applyAlignment="1" applyProtection="1">
      <alignment horizontal="left" vertical="center"/>
      <protection locked="0" hidden="1"/>
    </xf>
    <xf numFmtId="0" fontId="0" fillId="0" borderId="13" xfId="0" applyBorder="1" applyAlignment="1" applyProtection="1">
      <alignment horizontal="center" vertical="center"/>
      <protection locked="0" hidden="1"/>
    </xf>
    <xf numFmtId="0" fontId="0" fillId="0" borderId="13" xfId="0" applyBorder="1" applyAlignment="1" applyProtection="1">
      <alignment horizontal="center" vertical="center" wrapText="1"/>
      <protection locked="0" hidden="1"/>
    </xf>
    <xf numFmtId="1" fontId="0" fillId="0" borderId="13" xfId="0" applyNumberFormat="1" applyBorder="1" applyAlignment="1" applyProtection="1">
      <alignment horizontal="center" vertical="center" wrapText="1"/>
      <protection locked="0" hidden="1"/>
    </xf>
    <xf numFmtId="1" fontId="0" fillId="0" borderId="13" xfId="0" applyNumberFormat="1" applyBorder="1" applyAlignment="1" applyProtection="1">
      <alignment horizontal="center" vertical="center"/>
      <protection locked="0" hidden="1"/>
    </xf>
    <xf numFmtId="1" fontId="0" fillId="0" borderId="12" xfId="0" applyNumberFormat="1" applyBorder="1" applyAlignment="1" applyProtection="1">
      <alignment horizontal="center" vertical="center"/>
      <protection locked="0" hidden="1"/>
    </xf>
    <xf numFmtId="2" fontId="0" fillId="0" borderId="14" xfId="0" applyNumberFormat="1" applyBorder="1" applyAlignment="1" applyProtection="1">
      <alignment horizontal="center" vertical="center"/>
      <protection locked="0"/>
    </xf>
    <xf numFmtId="0" fontId="0" fillId="0" borderId="25" xfId="0" applyBorder="1"/>
    <xf numFmtId="0" fontId="0" fillId="0" borderId="26" xfId="0" applyBorder="1" applyAlignment="1" applyProtection="1">
      <alignment vertical="center"/>
      <protection locked="0" hidden="1"/>
    </xf>
    <xf numFmtId="0" fontId="0" fillId="0" borderId="19" xfId="0" applyBorder="1" applyAlignment="1" applyProtection="1">
      <alignment horizontal="left" vertical="center"/>
      <protection locked="0" hidden="1"/>
    </xf>
    <xf numFmtId="0" fontId="0" fillId="0" borderId="19" xfId="0" applyBorder="1" applyAlignment="1" applyProtection="1">
      <alignment horizontal="center" vertical="center"/>
      <protection locked="0" hidden="1"/>
    </xf>
    <xf numFmtId="0" fontId="0" fillId="0" borderId="19" xfId="0" applyBorder="1" applyAlignment="1" applyProtection="1">
      <alignment horizontal="center" vertical="center" wrapText="1"/>
      <protection locked="0" hidden="1"/>
    </xf>
    <xf numFmtId="1" fontId="0" fillId="0" borderId="19" xfId="0" applyNumberFormat="1" applyBorder="1" applyAlignment="1" applyProtection="1">
      <alignment horizontal="center" vertical="center" wrapText="1"/>
      <protection locked="0" hidden="1"/>
    </xf>
    <xf numFmtId="1" fontId="0" fillId="0" borderId="19" xfId="0" applyNumberFormat="1" applyBorder="1" applyAlignment="1" applyProtection="1">
      <alignment horizontal="center" vertical="center"/>
      <protection locked="0" hidden="1"/>
    </xf>
    <xf numFmtId="2" fontId="0" fillId="0" borderId="6" xfId="0" applyNumberFormat="1" applyBorder="1" applyAlignment="1" applyProtection="1">
      <alignment horizontal="center" vertical="center"/>
      <protection locked="0"/>
    </xf>
    <xf numFmtId="0" fontId="0" fillId="0" borderId="27" xfId="0" applyBorder="1"/>
    <xf numFmtId="2" fontId="0" fillId="0" borderId="6" xfId="0" applyNumberFormat="1" applyBorder="1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horizontal="left"/>
    </xf>
    <xf numFmtId="0" fontId="3" fillId="3" borderId="24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3" fillId="3" borderId="27" xfId="0" applyFont="1" applyFill="1" applyBorder="1" applyAlignment="1">
      <alignment horizontal="center"/>
    </xf>
    <xf numFmtId="0" fontId="1" fillId="0" borderId="0" xfId="0" applyFont="1" applyProtection="1">
      <protection locked="0"/>
    </xf>
    <xf numFmtId="0" fontId="0" fillId="0" borderId="2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9" xfId="0" applyBorder="1" applyAlignment="1">
      <alignment horizontal="center"/>
    </xf>
    <xf numFmtId="0" fontId="3" fillId="3" borderId="11" xfId="0" applyFont="1" applyFill="1" applyBorder="1" applyProtection="1">
      <protection hidden="1"/>
    </xf>
    <xf numFmtId="0" fontId="3" fillId="3" borderId="12" xfId="0" applyFont="1" applyFill="1" applyBorder="1" applyProtection="1">
      <protection hidden="1"/>
    </xf>
    <xf numFmtId="0" fontId="5" fillId="3" borderId="13" xfId="0" applyFont="1" applyFill="1" applyBorder="1" applyAlignment="1" applyProtection="1">
      <alignment horizontal="center" wrapText="1"/>
      <protection hidden="1"/>
    </xf>
    <xf numFmtId="0" fontId="5" fillId="3" borderId="13" xfId="0" applyFont="1" applyFill="1" applyBorder="1" applyAlignment="1" applyProtection="1">
      <alignment horizontal="center" vertical="center" wrapText="1"/>
      <protection hidden="1"/>
    </xf>
    <xf numFmtId="0" fontId="3" fillId="3" borderId="24" xfId="0" applyFont="1" applyFill="1" applyBorder="1" applyAlignment="1" applyProtection="1">
      <alignment horizontal="center" wrapText="1"/>
      <protection hidden="1"/>
    </xf>
    <xf numFmtId="0" fontId="4" fillId="3" borderId="25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/>
    <xf numFmtId="0" fontId="3" fillId="3" borderId="30" xfId="0" applyFont="1" applyFill="1" applyBorder="1" applyAlignment="1" applyProtection="1">
      <alignment horizontal="center"/>
      <protection hidden="1"/>
    </xf>
    <xf numFmtId="0" fontId="5" fillId="3" borderId="19" xfId="0" applyFont="1" applyFill="1" applyBorder="1" applyAlignment="1" applyProtection="1">
      <alignment horizontal="center" wrapText="1"/>
      <protection hidden="1"/>
    </xf>
    <xf numFmtId="0" fontId="5" fillId="3" borderId="19" xfId="0" applyFont="1" applyFill="1" applyBorder="1" applyAlignment="1" applyProtection="1">
      <alignment horizontal="center" vertical="center" wrapText="1"/>
      <protection hidden="1"/>
    </xf>
    <xf numFmtId="0" fontId="6" fillId="3" borderId="21" xfId="0" applyFont="1" applyFill="1" applyBorder="1" applyAlignment="1" applyProtection="1">
      <alignment horizontal="center" vertical="center" wrapText="1"/>
      <protection hidden="1"/>
    </xf>
    <xf numFmtId="0" fontId="4" fillId="3" borderId="26" xfId="0" applyFont="1" applyFill="1" applyBorder="1" applyAlignment="1" applyProtection="1">
      <alignment horizontal="center" vertical="center" wrapText="1"/>
      <protection hidden="1"/>
    </xf>
    <xf numFmtId="0" fontId="4" fillId="3" borderId="27" xfId="0" applyFont="1" applyFill="1" applyBorder="1" applyAlignment="1" applyProtection="1">
      <alignment horizontal="center" vertical="center" wrapText="1"/>
      <protection hidden="1"/>
    </xf>
    <xf numFmtId="0" fontId="0" fillId="0" borderId="26" xfId="0" applyBorder="1"/>
    <xf numFmtId="0" fontId="0" fillId="0" borderId="13" xfId="0" applyBorder="1" applyAlignment="1" applyProtection="1">
      <alignment horizontal="center" vertical="center"/>
      <protection hidden="1"/>
    </xf>
    <xf numFmtId="0" fontId="0" fillId="0" borderId="13" xfId="0" applyBorder="1" applyAlignment="1" applyProtection="1">
      <alignment horizontal="center" vertical="center" wrapText="1"/>
      <protection hidden="1"/>
    </xf>
    <xf numFmtId="0" fontId="0" fillId="0" borderId="25" xfId="0" applyBorder="1" applyAlignment="1" applyProtection="1">
      <alignment horizontal="center" vertical="center"/>
      <protection hidden="1"/>
    </xf>
    <xf numFmtId="0" fontId="0" fillId="0" borderId="26" xfId="0" applyBorder="1" applyAlignment="1" applyProtection="1">
      <alignment horizontal="center" vertical="center"/>
      <protection hidden="1"/>
    </xf>
    <xf numFmtId="3" fontId="0" fillId="0" borderId="19" xfId="0" applyNumberFormat="1" applyBorder="1" applyAlignment="1">
      <alignment horizontal="center"/>
    </xf>
    <xf numFmtId="3" fontId="0" fillId="4" borderId="19" xfId="0" applyNumberFormat="1" applyFill="1" applyBorder="1" applyAlignment="1">
      <alignment horizontal="center"/>
    </xf>
    <xf numFmtId="4" fontId="0" fillId="0" borderId="27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0" xfId="0" applyBorder="1" applyAlignment="1" applyProtection="1">
      <alignment horizontal="center" vertical="center"/>
      <protection hidden="1"/>
    </xf>
    <xf numFmtId="0" fontId="0" fillId="0" borderId="20" xfId="0" applyBorder="1" applyAlignment="1" applyProtection="1">
      <alignment horizontal="center" vertical="center" wrapText="1"/>
      <protection hidden="1"/>
    </xf>
    <xf numFmtId="0" fontId="0" fillId="0" borderId="31" xfId="0" applyBorder="1" applyAlignment="1" applyProtection="1">
      <alignment horizontal="center" vertical="center"/>
      <protection hidden="1"/>
    </xf>
    <xf numFmtId="0" fontId="0" fillId="0" borderId="19" xfId="0" applyBorder="1" applyAlignment="1" applyProtection="1">
      <alignment horizontal="center" vertical="center"/>
      <protection hidden="1"/>
    </xf>
    <xf numFmtId="0" fontId="0" fillId="0" borderId="28" xfId="0" applyBorder="1" applyAlignment="1" applyProtection="1">
      <alignment horizontal="center" vertical="center"/>
      <protection hidden="1"/>
    </xf>
    <xf numFmtId="3" fontId="0" fillId="0" borderId="21" xfId="0" applyNumberFormat="1" applyBorder="1" applyAlignment="1">
      <alignment horizontal="center"/>
    </xf>
    <xf numFmtId="3" fontId="0" fillId="4" borderId="21" xfId="0" applyNumberFormat="1" applyFill="1" applyBorder="1" applyAlignment="1">
      <alignment horizontal="center"/>
    </xf>
    <xf numFmtId="4" fontId="0" fillId="0" borderId="29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0" fontId="3" fillId="3" borderId="32" xfId="0" applyFont="1" applyFill="1" applyBorder="1" applyAlignment="1">
      <alignment horizontal="center"/>
    </xf>
    <xf numFmtId="0" fontId="3" fillId="3" borderId="33" xfId="0" applyFont="1" applyFill="1" applyBorder="1" applyAlignment="1">
      <alignment horizontal="center"/>
    </xf>
    <xf numFmtId="0" fontId="4" fillId="3" borderId="34" xfId="0" applyFont="1" applyFill="1" applyBorder="1" applyAlignment="1" applyProtection="1">
      <alignment horizontal="center" vertical="center" wrapText="1"/>
      <protection hidden="1"/>
    </xf>
    <xf numFmtId="0" fontId="4" fillId="3" borderId="33" xfId="0" applyFont="1" applyFill="1" applyBorder="1" applyAlignment="1" applyProtection="1">
      <alignment horizontal="center" vertical="center" wrapText="1"/>
      <protection hidden="1"/>
    </xf>
    <xf numFmtId="0" fontId="4" fillId="3" borderId="35" xfId="0" applyFont="1" applyFill="1" applyBorder="1" applyAlignment="1" applyProtection="1">
      <alignment horizontal="center" vertical="center" wrapText="1"/>
      <protection hidden="1"/>
    </xf>
    <xf numFmtId="0" fontId="3" fillId="3" borderId="36" xfId="0" applyFont="1" applyFill="1" applyBorder="1" applyAlignment="1">
      <alignment horizontal="center"/>
    </xf>
    <xf numFmtId="0" fontId="3" fillId="3" borderId="37" xfId="0" applyFont="1" applyFill="1" applyBorder="1" applyAlignment="1">
      <alignment horizontal="center"/>
    </xf>
    <xf numFmtId="0" fontId="5" fillId="3" borderId="21" xfId="0" applyFont="1" applyFill="1" applyBorder="1" applyAlignment="1" applyProtection="1">
      <alignment horizontal="center" wrapText="1"/>
      <protection hidden="1"/>
    </xf>
    <xf numFmtId="0" fontId="4" fillId="3" borderId="38" xfId="0" applyFont="1" applyFill="1" applyBorder="1" applyAlignment="1" applyProtection="1">
      <alignment horizontal="center" vertical="center" wrapText="1"/>
      <protection hidden="1"/>
    </xf>
    <xf numFmtId="0" fontId="5" fillId="3" borderId="20" xfId="0" applyFont="1" applyFill="1" applyBorder="1" applyAlignment="1" applyProtection="1">
      <alignment horizontal="center" vertical="center" wrapText="1"/>
      <protection hidden="1"/>
    </xf>
    <xf numFmtId="0" fontId="5" fillId="3" borderId="29" xfId="0" applyFont="1" applyFill="1" applyBorder="1" applyAlignment="1" applyProtection="1">
      <alignment horizontal="center" vertical="center" wrapText="1"/>
      <protection hidden="1"/>
    </xf>
    <xf numFmtId="0" fontId="0" fillId="0" borderId="24" xfId="0" applyBorder="1" applyAlignment="1">
      <alignment horizontal="center"/>
    </xf>
    <xf numFmtId="0" fontId="0" fillId="0" borderId="13" xfId="0" applyBorder="1" applyAlignment="1">
      <alignment horizontal="center"/>
    </xf>
    <xf numFmtId="3" fontId="0" fillId="0" borderId="13" xfId="0" applyNumberFormat="1" applyBorder="1" applyAlignment="1">
      <alignment horizontal="center"/>
    </xf>
    <xf numFmtId="3" fontId="0" fillId="0" borderId="25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1" fontId="7" fillId="4" borderId="19" xfId="0" applyNumberFormat="1" applyFont="1" applyFill="1" applyBorder="1" applyAlignment="1">
      <alignment horizontal="center"/>
    </xf>
    <xf numFmtId="3" fontId="0" fillId="0" borderId="27" xfId="0" applyNumberFormat="1" applyBorder="1" applyAlignment="1">
      <alignment horizontal="center"/>
    </xf>
    <xf numFmtId="1" fontId="0" fillId="0" borderId="28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" fontId="7" fillId="4" borderId="21" xfId="0" applyNumberFormat="1" applyFont="1" applyFill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3" fontId="3" fillId="0" borderId="21" xfId="0" applyNumberFormat="1" applyFont="1" applyBorder="1" applyAlignment="1">
      <alignment horizontal="center"/>
    </xf>
    <xf numFmtId="3" fontId="3" fillId="0" borderId="29" xfId="0" applyNumberFormat="1" applyFont="1" applyBorder="1" applyAlignment="1">
      <alignment horizontal="center"/>
    </xf>
    <xf numFmtId="1" fontId="3" fillId="0" borderId="39" xfId="0" applyNumberFormat="1" applyFont="1" applyBorder="1" applyAlignment="1">
      <alignment horizontal="center"/>
    </xf>
    <xf numFmtId="1" fontId="3" fillId="0" borderId="40" xfId="0" applyNumberFormat="1" applyFont="1" applyBorder="1" applyAlignment="1">
      <alignment horizontal="center"/>
    </xf>
    <xf numFmtId="4" fontId="0" fillId="0" borderId="41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3" fontId="3" fillId="0" borderId="42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3" fontId="3" fillId="0" borderId="43" xfId="0" applyNumberFormat="1" applyFont="1" applyBorder="1" applyAlignment="1">
      <alignment horizontal="center"/>
    </xf>
    <xf numFmtId="0" fontId="4" fillId="3" borderId="44" xfId="0" applyFont="1" applyFill="1" applyBorder="1" applyAlignment="1" applyProtection="1">
      <alignment horizontal="center" vertical="center" wrapText="1"/>
      <protection hidden="1"/>
    </xf>
    <xf numFmtId="0" fontId="4" fillId="3" borderId="45" xfId="0" applyFont="1" applyFill="1" applyBorder="1" applyAlignment="1" applyProtection="1">
      <alignment horizontal="center" vertical="center" wrapText="1"/>
      <protection hidden="1"/>
    </xf>
    <xf numFmtId="0" fontId="4" fillId="3" borderId="46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>
      <alignment horizontal="center"/>
    </xf>
    <xf numFmtId="0" fontId="3" fillId="3" borderId="24" xfId="0" applyFont="1" applyFill="1" applyBorder="1" applyAlignment="1" applyProtection="1">
      <alignment horizontal="center"/>
      <protection hidden="1"/>
    </xf>
    <xf numFmtId="0" fontId="3" fillId="3" borderId="14" xfId="0" applyFont="1" applyFill="1" applyBorder="1" applyAlignment="1" applyProtection="1">
      <alignment horizontal="center"/>
      <protection hidden="1"/>
    </xf>
    <xf numFmtId="0" fontId="6" fillId="3" borderId="20" xfId="0" applyFont="1" applyFill="1" applyBorder="1" applyAlignment="1" applyProtection="1">
      <alignment horizontal="center" vertical="center" wrapText="1"/>
      <protection hidden="1"/>
    </xf>
    <xf numFmtId="0" fontId="6" fillId="3" borderId="13" xfId="0" applyFont="1" applyFill="1" applyBorder="1" applyAlignment="1" applyProtection="1">
      <alignment horizontal="center" vertical="center" wrapText="1"/>
      <protection hidden="1"/>
    </xf>
    <xf numFmtId="0" fontId="6" fillId="3" borderId="25" xfId="0" applyFont="1" applyFill="1" applyBorder="1" applyAlignment="1" applyProtection="1">
      <alignment horizontal="center" vertical="center" wrapText="1"/>
      <protection hidden="1"/>
    </xf>
    <xf numFmtId="9" fontId="0" fillId="0" borderId="19" xfId="0" applyNumberFormat="1" applyBorder="1" applyAlignment="1">
      <alignment horizontal="center"/>
    </xf>
    <xf numFmtId="9" fontId="0" fillId="0" borderId="27" xfId="0" applyNumberFormat="1" applyBorder="1" applyAlignment="1">
      <alignment horizontal="center"/>
    </xf>
    <xf numFmtId="9" fontId="0" fillId="0" borderId="26" xfId="0" applyNumberFormat="1" applyBorder="1" applyAlignment="1">
      <alignment horizontal="center"/>
    </xf>
    <xf numFmtId="9" fontId="7" fillId="4" borderId="19" xfId="0" applyNumberFormat="1" applyFont="1" applyFill="1" applyBorder="1" applyAlignment="1">
      <alignment horizontal="center"/>
    </xf>
    <xf numFmtId="9" fontId="0" fillId="0" borderId="47" xfId="0" applyNumberFormat="1" applyBorder="1" applyAlignment="1">
      <alignment horizontal="center"/>
    </xf>
    <xf numFmtId="9" fontId="0" fillId="0" borderId="21" xfId="0" applyNumberFormat="1" applyBorder="1" applyAlignment="1">
      <alignment horizontal="center"/>
    </xf>
    <xf numFmtId="9" fontId="0" fillId="0" borderId="29" xfId="0" applyNumberFormat="1" applyBorder="1" applyAlignment="1">
      <alignment horizontal="center"/>
    </xf>
    <xf numFmtId="9" fontId="7" fillId="4" borderId="21" xfId="0" applyNumberFormat="1" applyFont="1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3" fillId="5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9" fontId="0" fillId="5" borderId="0" xfId="0" applyNumberFormat="1" applyFill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font>
        <b/>
        <i/>
        <color theme="0" tint="-0.499984740745262"/>
      </font>
    </dxf>
    <dxf>
      <font>
        <color theme="0" tint="-0.3499862666707358"/>
      </font>
    </dxf>
    <dxf>
      <font>
        <color theme="1" tint="0.499984740745262"/>
      </font>
      <fill>
        <patternFill>
          <bgColor theme="1" tint="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636</xdr:colOff>
      <xdr:row>362</xdr:row>
      <xdr:rowOff>70516</xdr:rowOff>
    </xdr:from>
    <xdr:to>
      <xdr:col>23</xdr:col>
      <xdr:colOff>735330</xdr:colOff>
      <xdr:row>365</xdr:row>
      <xdr:rowOff>175260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358140</xdr:colOff>
      <xdr:row>2</xdr:row>
      <xdr:rowOff>114300</xdr:rowOff>
    </xdr:from>
    <xdr:to>
      <xdr:col>23</xdr:col>
      <xdr:colOff>1114424</xdr:colOff>
      <xdr:row>6</xdr:row>
      <xdr:rowOff>35790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106681</xdr:colOff>
      <xdr:row>3</xdr:row>
      <xdr:rowOff>15240</xdr:rowOff>
    </xdr:from>
    <xdr:to>
      <xdr:col>15</xdr:col>
      <xdr:colOff>190501</xdr:colOff>
      <xdr:row>5</xdr:row>
      <xdr:rowOff>145011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472440</xdr:colOff>
      <xdr:row>68</xdr:row>
      <xdr:rowOff>13943</xdr:rowOff>
    </xdr:from>
    <xdr:to>
      <xdr:col>45</xdr:col>
      <xdr:colOff>525780</xdr:colOff>
      <xdr:row>73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129540</xdr:colOff>
      <xdr:row>3</xdr:row>
      <xdr:rowOff>62865</xdr:rowOff>
    </xdr:from>
    <xdr:to>
      <xdr:col>22</xdr:col>
      <xdr:colOff>354329</xdr:colOff>
      <xdr:row>6</xdr:row>
      <xdr:rowOff>159615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2"/>
  <sheetViews>
    <sheetView workbookViewId="0" zoomScale="80" zoomScaleNormal="80">
      <pane xSplit="3" ySplit="9" topLeftCell="D10" activePane="bottomRight" state="frozen"/>
      <selection pane="bottomRight" activeCell="F21" sqref="F21"/>
    </sheetView>
  </sheetViews>
  <sheetFormatPr defaultRowHeight="14.4" outlineLevelRow="0" outlineLevelCol="0" x14ac:dyDescent="0.3" customHeight="1"/>
  <cols>
    <col min="1" max="1" width="14.5546875" customWidth="1"/>
    <col min="2" max="2" width="11.6640625" customWidth="1"/>
    <col min="3" max="3" width="10.44140625" customWidth="1"/>
    <col min="4" max="4" width="15.109375" style="1" customWidth="1"/>
    <col min="5" max="5" width="11" style="1" customWidth="1"/>
    <col min="6" max="6" width="9.33203125" style="1" customWidth="1"/>
    <col min="7" max="7" width="8.88671875" style="1" customWidth="1"/>
    <col min="8" max="8" width="8.6640625" style="1" customWidth="1"/>
    <col min="9" max="9" width="8.109375" style="1" customWidth="1"/>
    <col min="10" max="10" width="8.44140625" style="1" customWidth="1"/>
    <col min="11" max="11" width="9.44140625" style="1" customWidth="1"/>
    <col min="12" max="12" width="6.6640625" style="2" customWidth="1"/>
    <col min="13" max="22" width="7.6640625" style="2" customWidth="1"/>
    <col min="23" max="23" width="7.6640625" style="1" customWidth="1"/>
    <col min="24" max="24" width="17.5546875" customWidth="1"/>
    <col min="25" max="26" width="13.6640625" customWidth="1"/>
    <col min="27" max="27" width="13.6640625" hidden="1" customWidth="1"/>
    <col min="28" max="28" width="13.6640625" customWidth="1"/>
    <col min="29" max="30" width="8.88671875" customWidth="1"/>
    <col min="31" max="32" hidden="1" customWidth="1"/>
    <col min="33" max="16384" width="8.88671875" hidden="1" customWidth="1"/>
  </cols>
  <sheetData>
    <row r="1" spans="1:24" x14ac:dyDescent="0.25">
      <c r="A1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3" t="str">
        <f>X1</f>
        <v>RMA2v2</v>
      </c>
      <c r="X1" t="s">
        <v>0</v>
      </c>
    </row>
    <row r="2" ht="15.6" customHeight="1" spans="1:22" x14ac:dyDescent="0.25">
      <c r="A2" s="4" t="s">
        <v>1</v>
      </c>
      <c r="B2" s="4"/>
      <c r="C2" s="4"/>
      <c r="D2" s="4"/>
      <c r="E2" s="4"/>
      <c r="F2" s="5"/>
      <c r="G2" s="5"/>
      <c r="H2" s="5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5" customHeight="1" spans="12:22" x14ac:dyDescent="0.25"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6" t="s">
        <v>2</v>
      </c>
      <c r="B4" s="7">
        <v>107460</v>
      </c>
      <c r="C4" s="8"/>
      <c r="D4" s="9"/>
      <c r="E4" s="10" t="s">
        <v>3</v>
      </c>
      <c r="F4" s="11"/>
      <c r="G4" s="11"/>
      <c r="H4" s="11"/>
      <c r="I4" s="11"/>
      <c r="J4" s="12"/>
      <c r="U4" s="1"/>
      <c r="V4" s="1"/>
    </row>
    <row r="5" ht="22.2" customHeight="1" spans="1:22" x14ac:dyDescent="0.25">
      <c r="A5" s="6" t="s">
        <v>4</v>
      </c>
      <c r="B5" s="7" t="s">
        <v>5</v>
      </c>
      <c r="C5" s="7"/>
      <c r="D5" s="7"/>
      <c r="E5" s="13" t="s">
        <v>6</v>
      </c>
      <c r="F5" s="14"/>
      <c r="G5" s="15" t="s">
        <v>7</v>
      </c>
      <c r="H5" s="14"/>
      <c r="I5" s="15" t="s">
        <v>8</v>
      </c>
      <c r="J5" s="16"/>
      <c r="U5" s="1"/>
      <c r="V5" s="1"/>
    </row>
    <row r="6" ht="21" customHeight="1" spans="1:22" x14ac:dyDescent="0.25">
      <c r="A6" s="6"/>
      <c r="B6" s="8"/>
      <c r="C6" s="8"/>
      <c r="E6" s="17" t="s">
        <v>9</v>
      </c>
      <c r="F6" s="18"/>
      <c r="G6" s="17" t="s">
        <v>9</v>
      </c>
      <c r="H6" s="18"/>
      <c r="I6" s="17" t="s">
        <v>9</v>
      </c>
      <c r="J6" s="19"/>
      <c r="U6" s="1"/>
      <c r="V6" s="1"/>
    </row>
    <row r="7" ht="15" customHeight="1" spans="1:22" x14ac:dyDescent="0.25">
      <c r="A7" s="6"/>
      <c r="B7" s="8"/>
      <c r="C7" s="8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2" customHeight="1" spans="1:28" x14ac:dyDescent="0.25">
      <c r="A8" s="20" t="s">
        <v>10</v>
      </c>
      <c r="B8" s="21"/>
      <c r="C8" s="21"/>
      <c r="D8" s="22" t="s">
        <v>11</v>
      </c>
      <c r="E8" s="23" t="s">
        <v>12</v>
      </c>
      <c r="F8" s="24" t="s">
        <v>13</v>
      </c>
      <c r="G8" s="25" t="s">
        <v>12</v>
      </c>
      <c r="H8" s="26"/>
      <c r="I8" s="26"/>
      <c r="J8" s="26"/>
      <c r="K8" s="27"/>
      <c r="L8" s="28" t="s">
        <v>14</v>
      </c>
      <c r="M8" s="28"/>
      <c r="N8" s="28"/>
      <c r="O8" s="28"/>
      <c r="P8" s="28"/>
      <c r="Q8" s="28"/>
      <c r="R8" s="28"/>
      <c r="S8" s="28"/>
      <c r="T8" s="28"/>
      <c r="U8" s="28"/>
      <c r="V8" s="28"/>
      <c r="W8" s="29"/>
      <c r="X8" s="30" t="s">
        <v>15</v>
      </c>
      <c r="Y8" s="31"/>
      <c r="Z8" s="31"/>
      <c r="AA8" s="31"/>
      <c r="AB8" s="31"/>
    </row>
    <row r="9" ht="48.6" customHeight="1" spans="1:28" x14ac:dyDescent="0.25">
      <c r="A9" s="32"/>
      <c r="B9" s="33" t="s">
        <v>16</v>
      </c>
      <c r="C9" s="33" t="s">
        <v>17</v>
      </c>
      <c r="D9" s="34"/>
      <c r="E9" s="35"/>
      <c r="F9" s="36"/>
      <c r="G9" s="37" t="s">
        <v>18</v>
      </c>
      <c r="H9" s="37" t="s">
        <v>19</v>
      </c>
      <c r="I9" s="37" t="s">
        <v>20</v>
      </c>
      <c r="J9" s="37" t="s">
        <v>21</v>
      </c>
      <c r="K9" s="37" t="s">
        <v>22</v>
      </c>
      <c r="L9" s="35" t="s">
        <v>23</v>
      </c>
      <c r="M9" s="35" t="s">
        <v>24</v>
      </c>
      <c r="N9" s="35" t="s">
        <v>25</v>
      </c>
      <c r="O9" s="35" t="s">
        <v>26</v>
      </c>
      <c r="P9" s="35" t="s">
        <v>27</v>
      </c>
      <c r="Q9" s="35" t="s">
        <v>28</v>
      </c>
      <c r="R9" s="35" t="s">
        <v>29</v>
      </c>
      <c r="S9" s="35" t="s">
        <v>30</v>
      </c>
      <c r="T9" s="38" t="s">
        <v>31</v>
      </c>
      <c r="U9" s="35" t="s">
        <v>32</v>
      </c>
      <c r="V9" s="35" t="s">
        <v>33</v>
      </c>
      <c r="W9" s="39" t="s">
        <v>34</v>
      </c>
      <c r="X9" s="40"/>
      <c r="Y9" s="31"/>
      <c r="Z9" s="31"/>
      <c r="AA9" s="31"/>
      <c r="AB9" s="31"/>
    </row>
    <row r="10" ht="19.95" customHeight="1" spans="1:27" x14ac:dyDescent="0.25">
      <c r="A10" s="41"/>
      <c r="B10" s="42"/>
      <c r="C10" s="42"/>
      <c r="D10" s="43"/>
      <c r="E10" s="44"/>
      <c r="F10" s="45"/>
      <c r="G10" s="45"/>
      <c r="H10" s="45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7"/>
      <c r="U10" s="47"/>
      <c r="V10" s="47"/>
      <c r="W10" s="48"/>
      <c r="X10" s="49" t="str">
        <f>IF(ISBLANK(A10)," ",IF(SUM(G10:K10)=E10,"Data Validated","Data with Error"))</f>
        <v>Data Validated</v>
      </c>
      <c r="AA10" t="s">
        <v>35</v>
      </c>
    </row>
    <row r="11" ht="20.4" customHeight="1" spans="1:27" x14ac:dyDescent="0.25">
      <c r="A11" s="50"/>
      <c r="B11" s="51"/>
      <c r="C11" s="51"/>
      <c r="D11" s="52"/>
      <c r="E11" s="53"/>
      <c r="F11" s="54"/>
      <c r="G11" s="54"/>
      <c r="H11" s="54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 t="str">
        <f t="shared" ref="X11:X74" si="0">IF(ISBLANK(A11)," ",IF(SUM(G11:K11)=E11,"Data Validated","Data with Error"))</f>
        <v>Data Validated</v>
      </c>
      <c r="AA11" t="s">
        <v>36</v>
      </c>
    </row>
    <row r="12" ht="19.95" customHeight="1" spans="1:27" x14ac:dyDescent="0.25">
      <c r="A12" s="50"/>
      <c r="B12" s="51"/>
      <c r="C12" s="51"/>
      <c r="D12" s="52"/>
      <c r="E12" s="53"/>
      <c r="F12" s="54"/>
      <c r="G12" s="54"/>
      <c r="H12" s="54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/>
      <c r="AA12" t="s">
        <v>37</v>
      </c>
    </row>
    <row r="13" ht="19.95" customHeight="1" spans="1:27" x14ac:dyDescent="0.25">
      <c r="A13" s="50"/>
      <c r="B13" s="51"/>
      <c r="C13" s="51"/>
      <c r="D13" s="52"/>
      <c r="E13" s="53"/>
      <c r="F13" s="54"/>
      <c r="G13" s="54"/>
      <c r="H13" s="54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/>
      <c r="AA13" t="s">
        <v>38</v>
      </c>
    </row>
    <row r="14" ht="19.95" customHeight="1" spans="1:27" x14ac:dyDescent="0.25">
      <c r="A14" s="50"/>
      <c r="B14" s="51"/>
      <c r="C14" s="51"/>
      <c r="D14" s="52"/>
      <c r="E14" s="53"/>
      <c r="F14" s="54"/>
      <c r="G14" s="54"/>
      <c r="H14" s="54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/>
      <c r="AA14" t="s">
        <v>39</v>
      </c>
    </row>
    <row r="15" ht="19.95" customHeight="1" spans="1:27" x14ac:dyDescent="0.25">
      <c r="A15" s="50"/>
      <c r="B15" s="51"/>
      <c r="C15" s="51"/>
      <c r="D15" s="52"/>
      <c r="E15" s="53"/>
      <c r="F15" s="54"/>
      <c r="G15" s="54"/>
      <c r="H15" s="54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/>
      <c r="AA15" t="s">
        <v>40</v>
      </c>
    </row>
    <row r="16" ht="19.95" customHeight="1" spans="1:27" x14ac:dyDescent="0.25">
      <c r="A16" s="50"/>
      <c r="B16" s="51"/>
      <c r="C16" s="51"/>
      <c r="D16" s="52"/>
      <c r="E16" s="53"/>
      <c r="F16" s="54"/>
      <c r="G16" s="54"/>
      <c r="H16" s="54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/>
      <c r="AA16" t="s">
        <v>41</v>
      </c>
    </row>
    <row r="17" ht="19.95" customHeight="1" spans="1:27" x14ac:dyDescent="0.25">
      <c r="A17" s="50"/>
      <c r="B17" s="51"/>
      <c r="C17" s="51"/>
      <c r="D17" s="52"/>
      <c r="E17" s="53"/>
      <c r="F17" s="54"/>
      <c r="G17" s="54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/>
      <c r="AA17" t="s">
        <v>42</v>
      </c>
    </row>
    <row r="18" ht="19.95" customHeight="1" spans="1:27" x14ac:dyDescent="0.25">
      <c r="A18" s="50"/>
      <c r="B18" s="51"/>
      <c r="C18" s="51"/>
      <c r="D18" s="52"/>
      <c r="E18" s="53"/>
      <c r="F18" s="54"/>
      <c r="G18" s="54"/>
      <c r="H18" s="54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/>
      <c r="AA18" t="s">
        <v>43</v>
      </c>
    </row>
    <row r="19" ht="19.95" customHeight="1" spans="1:27" x14ac:dyDescent="0.25">
      <c r="A19" s="50"/>
      <c r="B19" s="51"/>
      <c r="C19" s="51"/>
      <c r="D19" s="52"/>
      <c r="E19" s="53"/>
      <c r="F19" s="54"/>
      <c r="G19" s="54"/>
      <c r="H19" s="54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/>
      <c r="AA19" t="s">
        <v>44</v>
      </c>
    </row>
    <row r="20" ht="19.95" customHeight="1" spans="1:27" x14ac:dyDescent="0.25">
      <c r="A20" s="50"/>
      <c r="B20" s="51"/>
      <c r="C20" s="51"/>
      <c r="D20" s="52"/>
      <c r="E20" s="53"/>
      <c r="F20" s="54"/>
      <c r="G20" s="54"/>
      <c r="H20" s="54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/>
      <c r="AA20" t="s">
        <v>45</v>
      </c>
    </row>
    <row r="21" ht="19.95" customHeight="1" spans="1:27" x14ac:dyDescent="0.25">
      <c r="A21" s="50"/>
      <c r="B21" s="51"/>
      <c r="C21" s="51"/>
      <c r="D21" s="52"/>
      <c r="E21" s="53"/>
      <c r="F21" s="54"/>
      <c r="G21" s="54"/>
      <c r="H21" s="54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/>
      <c r="AA21" t="s">
        <v>46</v>
      </c>
    </row>
    <row r="22" ht="19.95" customHeight="1" spans="1:27" x14ac:dyDescent="0.25">
      <c r="A22" s="50"/>
      <c r="B22" s="51"/>
      <c r="C22" s="51"/>
      <c r="D22" s="52"/>
      <c r="E22" s="53"/>
      <c r="F22" s="54"/>
      <c r="G22" s="54"/>
      <c r="H22" s="54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/>
      <c r="AA22" t="s">
        <v>47</v>
      </c>
    </row>
    <row r="23" ht="19.95" customHeight="1" spans="1:27" x14ac:dyDescent="0.25">
      <c r="A23" s="50"/>
      <c r="B23" s="51"/>
      <c r="C23" s="51"/>
      <c r="D23" s="52"/>
      <c r="E23" s="53"/>
      <c r="F23" s="54"/>
      <c r="G23" s="54"/>
      <c r="H23" s="54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/>
      <c r="AA23" t="s">
        <v>48</v>
      </c>
    </row>
    <row r="24" ht="19.95" customHeight="1" spans="1:27" x14ac:dyDescent="0.25">
      <c r="A24" s="50"/>
      <c r="B24" s="51"/>
      <c r="C24" s="51"/>
      <c r="D24" s="52"/>
      <c r="E24" s="53"/>
      <c r="F24" s="54"/>
      <c r="G24" s="54"/>
      <c r="H24" s="54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/>
      <c r="AA24" t="s">
        <v>49</v>
      </c>
    </row>
    <row r="25" ht="19.95" customHeight="1" spans="1:27" x14ac:dyDescent="0.25">
      <c r="A25" s="50"/>
      <c r="B25" s="51"/>
      <c r="C25" s="51"/>
      <c r="D25" s="52"/>
      <c r="E25" s="53"/>
      <c r="F25" s="54"/>
      <c r="G25" s="54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/>
      <c r="AA25" t="s">
        <v>50</v>
      </c>
    </row>
    <row r="26" ht="19.95" customHeight="1" spans="1:27" x14ac:dyDescent="0.25">
      <c r="A26" s="50"/>
      <c r="B26" s="51"/>
      <c r="C26" s="51"/>
      <c r="D26" s="52"/>
      <c r="E26" s="53"/>
      <c r="F26" s="54"/>
      <c r="G26" s="54"/>
      <c r="H26" s="54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/>
      <c r="AA26" t="s">
        <v>51</v>
      </c>
    </row>
    <row r="27" ht="19.95" customHeight="1" spans="1:27" x14ac:dyDescent="0.25">
      <c r="A27" s="50"/>
      <c r="B27" s="51"/>
      <c r="C27" s="51"/>
      <c r="D27" s="52"/>
      <c r="E27" s="53"/>
      <c r="F27" s="54"/>
      <c r="G27" s="54"/>
      <c r="H27" s="54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/>
      <c r="AA27" t="s">
        <v>52</v>
      </c>
    </row>
    <row r="28" ht="19.95" customHeight="1" spans="1:27" x14ac:dyDescent="0.25">
      <c r="A28" s="50"/>
      <c r="B28" s="51"/>
      <c r="C28" s="51"/>
      <c r="D28" s="52"/>
      <c r="E28" s="53"/>
      <c r="F28" s="54"/>
      <c r="G28" s="54"/>
      <c r="H28" s="54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/>
      <c r="AA28" t="s">
        <v>53</v>
      </c>
    </row>
    <row r="29" ht="19.95" customHeight="1" spans="1:27" x14ac:dyDescent="0.25">
      <c r="A29" s="50"/>
      <c r="B29" s="51"/>
      <c r="C29" s="51"/>
      <c r="D29" s="52"/>
      <c r="E29" s="53"/>
      <c r="F29" s="54"/>
      <c r="G29" s="54"/>
      <c r="H29" s="54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/>
      <c r="AA29" t="s">
        <v>54</v>
      </c>
    </row>
    <row r="30" ht="19.95" customHeight="1" spans="1:27" x14ac:dyDescent="0.25">
      <c r="A30" s="50"/>
      <c r="B30" s="51"/>
      <c r="C30" s="51"/>
      <c r="D30" s="52"/>
      <c r="E30" s="53"/>
      <c r="F30" s="54"/>
      <c r="G30" s="54"/>
      <c r="H30" s="54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/>
      <c r="AA30" t="s">
        <v>55</v>
      </c>
    </row>
    <row r="31" ht="19.95" customHeight="1" spans="1:27" x14ac:dyDescent="0.25">
      <c r="A31" s="50"/>
      <c r="B31" s="51"/>
      <c r="C31" s="51"/>
      <c r="D31" s="52"/>
      <c r="E31" s="53"/>
      <c r="F31" s="54"/>
      <c r="G31" s="54"/>
      <c r="H31" s="54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/>
      <c r="AA31" t="s">
        <v>56</v>
      </c>
    </row>
    <row r="32" ht="19.95" customHeight="1" spans="1:27" x14ac:dyDescent="0.25">
      <c r="A32" s="50"/>
      <c r="B32" s="51"/>
      <c r="C32" s="51"/>
      <c r="D32" s="52"/>
      <c r="E32" s="53"/>
      <c r="F32" s="54"/>
      <c r="G32" s="54"/>
      <c r="H32" s="54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6"/>
      <c r="X32" s="57"/>
      <c r="AA32" t="s">
        <v>57</v>
      </c>
    </row>
    <row r="33" ht="19.95" customHeight="1" spans="1:27" x14ac:dyDescent="0.25">
      <c r="A33" s="50"/>
      <c r="B33" s="51"/>
      <c r="C33" s="51"/>
      <c r="D33" s="52"/>
      <c r="E33" s="53"/>
      <c r="F33" s="54"/>
      <c r="G33" s="54"/>
      <c r="H33" s="54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6"/>
      <c r="X33" s="57"/>
      <c r="AA33" t="s">
        <v>58</v>
      </c>
    </row>
    <row r="34" ht="19.95" customHeight="1" spans="1:27" x14ac:dyDescent="0.25">
      <c r="A34" s="50"/>
      <c r="B34" s="51"/>
      <c r="C34" s="51"/>
      <c r="D34" s="52"/>
      <c r="E34" s="53"/>
      <c r="F34" s="54"/>
      <c r="G34" s="54"/>
      <c r="H34" s="54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6"/>
      <c r="X34" s="57"/>
      <c r="AA34" t="s">
        <v>59</v>
      </c>
    </row>
    <row r="35" ht="19.95" customHeight="1" spans="1:27" x14ac:dyDescent="0.25">
      <c r="A35" s="50"/>
      <c r="B35" s="51"/>
      <c r="C35" s="51"/>
      <c r="D35" s="52"/>
      <c r="E35" s="53"/>
      <c r="F35" s="54"/>
      <c r="G35" s="54"/>
      <c r="H35" s="54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6"/>
      <c r="X35" s="57"/>
      <c r="AA35" t="s">
        <v>60</v>
      </c>
    </row>
    <row r="36" ht="19.95" customHeight="1" spans="1:27" x14ac:dyDescent="0.25">
      <c r="A36" s="50"/>
      <c r="B36" s="51"/>
      <c r="C36" s="51"/>
      <c r="D36" s="52"/>
      <c r="E36" s="53"/>
      <c r="F36" s="54"/>
      <c r="G36" s="54"/>
      <c r="H36" s="54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6"/>
      <c r="X36" s="57"/>
      <c r="AA36" t="s">
        <v>61</v>
      </c>
    </row>
    <row r="37" ht="19.95" customHeight="1" spans="1:27" x14ac:dyDescent="0.25">
      <c r="A37" s="50"/>
      <c r="B37" s="51"/>
      <c r="C37" s="51"/>
      <c r="D37" s="52"/>
      <c r="E37" s="53"/>
      <c r="F37" s="54"/>
      <c r="G37" s="54"/>
      <c r="H37" s="54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6"/>
      <c r="X37" s="57"/>
      <c r="AA37" t="s">
        <v>62</v>
      </c>
    </row>
    <row r="38" ht="19.95" customHeight="1" spans="1:27" x14ac:dyDescent="0.25">
      <c r="A38" s="50"/>
      <c r="B38" s="51"/>
      <c r="C38" s="51"/>
      <c r="D38" s="52"/>
      <c r="E38" s="53"/>
      <c r="F38" s="54"/>
      <c r="G38" s="54"/>
      <c r="H38" s="54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6"/>
      <c r="X38" s="57"/>
      <c r="AA38" t="s">
        <v>63</v>
      </c>
    </row>
    <row r="39" ht="19.95" customHeight="1" spans="1:27" x14ac:dyDescent="0.25">
      <c r="A39" s="50"/>
      <c r="B39" s="51"/>
      <c r="C39" s="51"/>
      <c r="D39" s="52"/>
      <c r="E39" s="53"/>
      <c r="F39" s="54"/>
      <c r="G39" s="54"/>
      <c r="H39" s="54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6">
        <f t="array" ref="W39">IF(A39&lt;&gt;"",_xlfn.IFS(A39="Grade 1",SUM(L39:S39),A39="Grade 2",SUM(L39:V39),A39="Grade 3",SUM(L39:S39)),"")</f>
      </c>
      <c r="X39" s="57"/>
      <c r="AA39" t="s">
        <v>64</v>
      </c>
    </row>
    <row r="40" ht="19.95" customHeight="1" spans="1:27" x14ac:dyDescent="0.25">
      <c r="A40" s="50"/>
      <c r="B40" s="51"/>
      <c r="C40" s="51"/>
      <c r="D40" s="52"/>
      <c r="E40" s="53"/>
      <c r="F40" s="54"/>
      <c r="G40" s="54"/>
      <c r="H40" s="54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6">
        <f t="array" ref="W40">IF(A40&lt;&gt;"",_xlfn.IFS(A40="Grade 1",SUM(L40:S40),A40="Grade 2",SUM(L40:V40),A40="Grade 3",SUM(L40:S40)),"")</f>
      </c>
      <c r="X40" s="57"/>
      <c r="AA40" t="s">
        <v>65</v>
      </c>
    </row>
    <row r="41" ht="19.95" customHeight="1" spans="1:27" x14ac:dyDescent="0.25">
      <c r="A41" s="50"/>
      <c r="B41" s="51"/>
      <c r="C41" s="51"/>
      <c r="D41" s="52"/>
      <c r="E41" s="53"/>
      <c r="F41" s="54"/>
      <c r="G41" s="54"/>
      <c r="H41" s="54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6">
        <f t="array" ref="W41">IF(A41&lt;&gt;"",_xlfn.IFS(A41="Grade 1",SUM(L41:S41),A41="Grade 2",SUM(L41:V41),A41="Grade 3",SUM(L41:S41)),"")</f>
      </c>
      <c r="X41" s="57"/>
      <c r="AA41" t="s">
        <v>9</v>
      </c>
    </row>
    <row r="42" ht="19.95" customHeight="1" spans="1:27" x14ac:dyDescent="0.25">
      <c r="A42" s="50"/>
      <c r="B42" s="51"/>
      <c r="C42" s="51"/>
      <c r="D42" s="52"/>
      <c r="E42" s="53"/>
      <c r="F42" s="54"/>
      <c r="G42" s="54"/>
      <c r="H42" s="54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6">
        <f t="array" ref="W42">IF(A42&lt;&gt;"",_xlfn.IFS(A42="Grade 1",SUM(L42:S42),A42="Grade 2",SUM(L42:V42),A42="Grade 3",SUM(L42:S42)),"")</f>
      </c>
      <c r="X42" s="57"/>
      <c r="AA42" t="s">
        <v>66</v>
      </c>
    </row>
    <row r="43" ht="19.95" customHeight="1" spans="1:27" x14ac:dyDescent="0.25">
      <c r="A43" s="50"/>
      <c r="B43" s="51"/>
      <c r="C43" s="51"/>
      <c r="D43" s="52"/>
      <c r="E43" s="53"/>
      <c r="F43" s="54"/>
      <c r="G43" s="54"/>
      <c r="H43" s="54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6">
        <f t="array" ref="W43">IF(A43&lt;&gt;"",_xlfn.IFS(A43="Grade 1",SUM(L43:S43),A43="Grade 2",SUM(L43:V43),A43="Grade 3",SUM(L43:S43)),"")</f>
      </c>
      <c r="X43" s="57"/>
      <c r="AA43" t="s">
        <v>67</v>
      </c>
    </row>
    <row r="44" ht="19.95" customHeight="1" spans="1:27" x14ac:dyDescent="0.25">
      <c r="A44" s="50"/>
      <c r="B44" s="51"/>
      <c r="C44" s="51"/>
      <c r="D44" s="52"/>
      <c r="E44" s="53"/>
      <c r="F44" s="54"/>
      <c r="G44" s="54"/>
      <c r="H44" s="54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6">
        <f t="array" ref="W44">IF(A44&lt;&gt;"",_xlfn.IFS(A44="Grade 1",SUM(L44:S44),A44="Grade 2",SUM(L44:V44),A44="Grade 3",SUM(L44:S44)),"")</f>
      </c>
      <c r="X44" s="57"/>
      <c r="AA44" t="s">
        <v>68</v>
      </c>
    </row>
    <row r="45" ht="19.95" customHeight="1" spans="1:27" x14ac:dyDescent="0.25">
      <c r="A45" s="50"/>
      <c r="B45" s="51"/>
      <c r="C45" s="51"/>
      <c r="D45" s="52"/>
      <c r="E45" s="53"/>
      <c r="F45" s="54"/>
      <c r="G45" s="54"/>
      <c r="H45" s="54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6">
        <f t="array" ref="W45">IF(A45&lt;&gt;"",_xlfn.IFS(A45="Grade 1",SUM(L45:S45),A45="Grade 2",SUM(L45:V45),A45="Grade 3",SUM(L45:S45)),"")</f>
      </c>
      <c r="X45" s="57"/>
      <c r="AA45" t="s">
        <v>69</v>
      </c>
    </row>
    <row r="46" ht="19.95" customHeight="1" spans="1:24" x14ac:dyDescent="0.25">
      <c r="A46" s="50"/>
      <c r="B46" s="51"/>
      <c r="C46" s="51"/>
      <c r="D46" s="52"/>
      <c r="E46" s="53"/>
      <c r="F46" s="54"/>
      <c r="G46" s="54"/>
      <c r="H46" s="54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6">
        <f t="array" ref="W46">IF(A46&lt;&gt;"",_xlfn.IFS(A46="Grade 1",SUM(L46:S46),A46="Grade 2",SUM(L46:V46),A46="Grade 3",SUM(L46:S46)),"")</f>
      </c>
      <c r="X46" s="57"/>
    </row>
    <row r="47" ht="19.95" customHeight="1" spans="1:24" x14ac:dyDescent="0.25">
      <c r="A47" s="50"/>
      <c r="B47" s="51"/>
      <c r="C47" s="51"/>
      <c r="D47" s="52"/>
      <c r="E47" s="53"/>
      <c r="F47" s="54"/>
      <c r="G47" s="54"/>
      <c r="H47" s="54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6">
        <f t="array" ref="W47">IF(A47&lt;&gt;"",_xlfn.IFS(A47="Grade 1",SUM(L47:S47),A47="Grade 2",SUM(L47:V47),A47="Grade 3",SUM(L47:S47)),"")</f>
      </c>
      <c r="X47" s="57"/>
    </row>
    <row r="48" ht="19.95" customHeight="1" spans="1:24" x14ac:dyDescent="0.25">
      <c r="A48" s="50"/>
      <c r="B48" s="51"/>
      <c r="C48" s="51"/>
      <c r="D48" s="52"/>
      <c r="E48" s="53"/>
      <c r="F48" s="54"/>
      <c r="G48" s="54"/>
      <c r="H48" s="54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6">
        <f t="array" ref="W48">IF(A48&lt;&gt;"",_xlfn.IFS(A48="Grade 1",SUM(L48:S48),A48="Grade 2",SUM(L48:V48),A48="Grade 3",SUM(L48:S48)),"")</f>
      </c>
      <c r="X48" s="57"/>
    </row>
    <row r="49" ht="19.95" customHeight="1" spans="1:24" x14ac:dyDescent="0.25">
      <c r="A49" s="50"/>
      <c r="B49" s="51"/>
      <c r="C49" s="51"/>
      <c r="D49" s="52"/>
      <c r="E49" s="53"/>
      <c r="F49" s="54"/>
      <c r="G49" s="54"/>
      <c r="H49" s="54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6">
        <f t="array" ref="W49">IF(A49&lt;&gt;"",_xlfn.IFS(A49="Grade 1",SUM(L49:S49),A49="Grade 2",SUM(L49:V49),A49="Grade 3",SUM(L49:S49)),"")</f>
      </c>
      <c r="X49" s="57"/>
    </row>
    <row r="50" ht="19.95" customHeight="1" spans="1:24" x14ac:dyDescent="0.25">
      <c r="A50" s="50"/>
      <c r="B50" s="51"/>
      <c r="C50" s="51"/>
      <c r="D50" s="52"/>
      <c r="E50" s="53"/>
      <c r="F50" s="54"/>
      <c r="G50" s="54"/>
      <c r="H50" s="54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6">
        <f t="array" ref="W50">IF(A50&lt;&gt;"",_xlfn.IFS(A50="Grade 1",SUM(L50:S50),A50="Grade 2",SUM(L50:V50),A50="Grade 3",SUM(L50:S50)),"")</f>
      </c>
      <c r="X50" s="57"/>
    </row>
    <row r="51" ht="19.95" customHeight="1" spans="1:24" x14ac:dyDescent="0.25">
      <c r="A51" s="50"/>
      <c r="B51" s="51"/>
      <c r="C51" s="51"/>
      <c r="D51" s="52"/>
      <c r="E51" s="53"/>
      <c r="F51" s="54"/>
      <c r="G51" s="54"/>
      <c r="H51" s="54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6">
        <f t="array" ref="W51">IF(A51&lt;&gt;"",_xlfn.IFS(A51="Grade 1",SUM(L51:S51),A51="Grade 2",SUM(L51:V51),A51="Grade 3",SUM(L51:S51)),"")</f>
      </c>
      <c r="X51" s="57"/>
    </row>
    <row r="52" ht="19.95" customHeight="1" spans="1:24" x14ac:dyDescent="0.25">
      <c r="A52" s="50"/>
      <c r="B52" s="51"/>
      <c r="C52" s="51"/>
      <c r="D52" s="52"/>
      <c r="E52" s="53"/>
      <c r="F52" s="54"/>
      <c r="G52" s="54"/>
      <c r="H52" s="54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6">
        <f t="array" ref="W52">IF(A52&lt;&gt;"",_xlfn.IFS(A52="Grade 1",SUM(L52:S52),A52="Grade 2",SUM(L52:V52),A52="Grade 3",SUM(L52:S52)),"")</f>
      </c>
      <c r="X52" s="57"/>
    </row>
    <row r="53" ht="19.95" customHeight="1" spans="1:24" x14ac:dyDescent="0.25">
      <c r="A53" s="50"/>
      <c r="B53" s="51"/>
      <c r="C53" s="51"/>
      <c r="D53" s="52"/>
      <c r="E53" s="53"/>
      <c r="F53" s="54"/>
      <c r="G53" s="54"/>
      <c r="H53" s="54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6">
        <f t="array" ref="W53">IF(A53&lt;&gt;"",_xlfn.IFS(A53="Grade 1",SUM(L53:S53),A53="Grade 2",SUM(L53:V53),A53="Grade 3",SUM(L53:S53)),"")</f>
      </c>
      <c r="X53" s="57"/>
    </row>
    <row r="54" ht="19.95" customHeight="1" spans="1:24" x14ac:dyDescent="0.25">
      <c r="A54" s="50"/>
      <c r="B54" s="51"/>
      <c r="C54" s="51"/>
      <c r="D54" s="52"/>
      <c r="E54" s="53"/>
      <c r="F54" s="54"/>
      <c r="G54" s="54"/>
      <c r="H54" s="54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6">
        <f t="array" ref="W54">IF(A54&lt;&gt;"",_xlfn.IFS(A54="Grade 1",SUM(L54:S54),A54="Grade 2",SUM(L54:V54),A54="Grade 3",SUM(L54:S54)),"")</f>
      </c>
      <c r="X54" s="57"/>
    </row>
    <row r="55" ht="19.95" customHeight="1" spans="1:24" x14ac:dyDescent="0.25">
      <c r="A55" s="50"/>
      <c r="B55" s="51"/>
      <c r="C55" s="51"/>
      <c r="D55" s="52"/>
      <c r="E55" s="53"/>
      <c r="F55" s="54"/>
      <c r="G55" s="54"/>
      <c r="H55" s="54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6">
        <f t="array" ref="W55">IF(A55&lt;&gt;"",_xlfn.IFS(A55="Grade 1",SUM(L55:S55),A55="Grade 2",SUM(L55:V55),A55="Grade 3",SUM(L55:S55)),"")</f>
      </c>
      <c r="X55" s="57"/>
    </row>
    <row r="56" ht="19.95" customHeight="1" spans="1:24" x14ac:dyDescent="0.25">
      <c r="A56" s="50"/>
      <c r="B56" s="51"/>
      <c r="C56" s="51"/>
      <c r="D56" s="52"/>
      <c r="E56" s="53"/>
      <c r="F56" s="54"/>
      <c r="G56" s="54"/>
      <c r="H56" s="54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6">
        <f t="array" ref="W56">IF(A56&lt;&gt;"",_xlfn.IFS(A56="Grade 1",SUM(L56:S56),A56="Grade 2",SUM(L56:V56),A56="Grade 3",SUM(L56:S56)),"")</f>
      </c>
      <c r="X56" s="57"/>
    </row>
    <row r="57" ht="19.95" customHeight="1" spans="1:24" x14ac:dyDescent="0.25">
      <c r="A57" s="50"/>
      <c r="B57" s="51"/>
      <c r="C57" s="51"/>
      <c r="D57" s="52"/>
      <c r="E57" s="53"/>
      <c r="F57" s="54"/>
      <c r="G57" s="54"/>
      <c r="H57" s="54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6">
        <f t="array" ref="W57">IF(A57&lt;&gt;"",_xlfn.IFS(A57="Grade 1",SUM(L57:S57),A57="Grade 2",SUM(L57:V57),A57="Grade 3",SUM(L57:S57)),"")</f>
      </c>
      <c r="X57" s="57"/>
    </row>
    <row r="58" ht="19.95" customHeight="1" spans="1:24" x14ac:dyDescent="0.25">
      <c r="A58" s="50"/>
      <c r="B58" s="51"/>
      <c r="C58" s="51"/>
      <c r="D58" s="52"/>
      <c r="E58" s="53"/>
      <c r="F58" s="54"/>
      <c r="G58" s="54"/>
      <c r="H58" s="54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6">
        <f t="array" ref="W58">IF(A58&lt;&gt;"",_xlfn.IFS(A58="Grade 1",SUM(L58:S58),A58="Grade 2",SUM(L58:V58),A58="Grade 3",SUM(L58:S58)),"")</f>
      </c>
      <c r="X58" s="57"/>
    </row>
    <row r="59" ht="19.95" customHeight="1" spans="1:24" x14ac:dyDescent="0.25">
      <c r="A59" s="50"/>
      <c r="B59" s="51"/>
      <c r="C59" s="51"/>
      <c r="D59" s="52"/>
      <c r="E59" s="53"/>
      <c r="F59" s="54"/>
      <c r="G59" s="54"/>
      <c r="H59" s="54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6">
        <f t="array" ref="W59">IF(A59&lt;&gt;"",_xlfn.IFS(A59="Grade 1",SUM(L59:S59),A59="Grade 2",SUM(L59:V59),A59="Grade 3",SUM(L59:S59)),"")</f>
      </c>
      <c r="X59" s="57"/>
    </row>
    <row r="60" ht="19.95" customHeight="1" spans="1:24" x14ac:dyDescent="0.25">
      <c r="A60" s="50"/>
      <c r="B60" s="51"/>
      <c r="C60" s="51"/>
      <c r="D60" s="52"/>
      <c r="E60" s="53"/>
      <c r="F60" s="54"/>
      <c r="G60" s="54"/>
      <c r="H60" s="54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6">
        <f t="array" ref="W60">IF(A60&lt;&gt;"",_xlfn.IFS(A60="Grade 1",SUM(L60:S60),A60="Grade 2",SUM(L60:V60),A60="Grade 3",SUM(L60:S60)),"")</f>
      </c>
      <c r="X60" s="57"/>
    </row>
    <row r="61" ht="19.95" customHeight="1" spans="1:24" x14ac:dyDescent="0.25">
      <c r="A61" s="50"/>
      <c r="B61" s="51"/>
      <c r="C61" s="51"/>
      <c r="D61" s="52"/>
      <c r="E61" s="53"/>
      <c r="F61" s="54"/>
      <c r="G61" s="54"/>
      <c r="H61" s="54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6">
        <f t="array" ref="W61">IF(A61&lt;&gt;"",_xlfn.IFS(A61="Grade 1",SUM(L61:S61),A61="Grade 2",SUM(L61:V61),A61="Grade 3",SUM(L61:S61)),"")</f>
      </c>
      <c r="X61" s="57"/>
    </row>
    <row r="62" ht="19.95" customHeight="1" spans="1:24" x14ac:dyDescent="0.25">
      <c r="A62" s="50"/>
      <c r="B62" s="51"/>
      <c r="C62" s="51"/>
      <c r="D62" s="52"/>
      <c r="E62" s="53"/>
      <c r="F62" s="54"/>
      <c r="G62" s="54"/>
      <c r="H62" s="54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6">
        <f t="array" ref="W62">IF(A62&lt;&gt;"",_xlfn.IFS(A62="Grade 1",SUM(L62:S62),A62="Grade 2",SUM(L62:V62),A62="Grade 3",SUM(L62:S62)),"")</f>
      </c>
      <c r="X62" s="57"/>
    </row>
    <row r="63" ht="19.95" customHeight="1" spans="1:24" x14ac:dyDescent="0.25">
      <c r="A63" s="50"/>
      <c r="B63" s="51"/>
      <c r="C63" s="51"/>
      <c r="D63" s="52"/>
      <c r="E63" s="53"/>
      <c r="F63" s="54"/>
      <c r="G63" s="54"/>
      <c r="H63" s="54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6">
        <f t="array" ref="W63">IF(A63&lt;&gt;"",_xlfn.IFS(A63="Grade 1",SUM(L63:S63),A63="Grade 2",SUM(L63:V63),A63="Grade 3",SUM(L63:S63)),"")</f>
      </c>
      <c r="X63" s="57"/>
    </row>
    <row r="64" ht="19.95" customHeight="1" spans="1:24" x14ac:dyDescent="0.25">
      <c r="A64" s="50"/>
      <c r="B64" s="51"/>
      <c r="C64" s="51"/>
      <c r="D64" s="52"/>
      <c r="E64" s="53"/>
      <c r="F64" s="54"/>
      <c r="G64" s="54"/>
      <c r="H64" s="54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6">
        <f t="array" ref="W64">IF(A64&lt;&gt;"",_xlfn.IFS(A64="Grade 1",SUM(L64:S64),A64="Grade 2",SUM(L64:V64),A64="Grade 3",SUM(L64:S64)),"")</f>
      </c>
      <c r="X64" s="57"/>
    </row>
    <row r="65" ht="19.95" customHeight="1" spans="1:24" x14ac:dyDescent="0.25">
      <c r="A65" s="50"/>
      <c r="B65" s="51"/>
      <c r="C65" s="51"/>
      <c r="D65" s="52"/>
      <c r="E65" s="53"/>
      <c r="F65" s="54"/>
      <c r="G65" s="54"/>
      <c r="H65" s="54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6">
        <f t="array" ref="W65">IF(A65&lt;&gt;"",_xlfn.IFS(A65="Grade 1",SUM(L65:S65),A65="Grade 2",SUM(L65:V65),A65="Grade 3",SUM(L65:S65)),"")</f>
      </c>
      <c r="X65" s="57"/>
    </row>
    <row r="66" ht="19.95" customHeight="1" spans="1:24" x14ac:dyDescent="0.25">
      <c r="A66" s="50"/>
      <c r="B66" s="51"/>
      <c r="C66" s="51"/>
      <c r="D66" s="52"/>
      <c r="E66" s="53"/>
      <c r="F66" s="54"/>
      <c r="G66" s="54"/>
      <c r="H66" s="54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6">
        <f t="array" ref="W66">IF(A66&lt;&gt;"",_xlfn.IFS(A66="Grade 1",SUM(L66:S66),A66="Grade 2",SUM(L66:V66),A66="Grade 3",SUM(L66:S66)),"")</f>
      </c>
      <c r="X66" s="57"/>
    </row>
    <row r="67" ht="19.95" customHeight="1" spans="1:24" x14ac:dyDescent="0.25">
      <c r="A67" s="50"/>
      <c r="B67" s="51"/>
      <c r="C67" s="51"/>
      <c r="D67" s="52"/>
      <c r="E67" s="53"/>
      <c r="F67" s="54"/>
      <c r="G67" s="54"/>
      <c r="H67" s="54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6">
        <f t="array" ref="W67">IF(A67&lt;&gt;"",_xlfn.IFS(A67="Grade 1",SUM(L67:S67),A67="Grade 2",SUM(L67:V67),A67="Grade 3",SUM(L67:S67)),"")</f>
      </c>
      <c r="X67" s="57"/>
    </row>
    <row r="68" ht="19.95" customHeight="1" spans="1:24" x14ac:dyDescent="0.25">
      <c r="A68" s="50"/>
      <c r="B68" s="51"/>
      <c r="C68" s="51"/>
      <c r="D68" s="52"/>
      <c r="E68" s="53"/>
      <c r="F68" s="54"/>
      <c r="G68" s="54"/>
      <c r="H68" s="54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6">
        <f t="array" ref="W68">IF(A68&lt;&gt;"",_xlfn.IFS(A68="Grade 1",SUM(L68:S68),A68="Grade 2",SUM(L68:V68),A68="Grade 3",SUM(L68:S68)),"")</f>
      </c>
      <c r="X68" s="57"/>
    </row>
    <row r="69" ht="19.95" customHeight="1" spans="1:24" x14ac:dyDescent="0.25">
      <c r="A69" s="50"/>
      <c r="B69" s="51"/>
      <c r="C69" s="51"/>
      <c r="D69" s="52"/>
      <c r="E69" s="53"/>
      <c r="F69" s="54"/>
      <c r="G69" s="54"/>
      <c r="H69" s="54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6">
        <f t="array" ref="W69">IF(A69&lt;&gt;"",_xlfn.IFS(A69="Grade 1",SUM(L69:S69),A69="Grade 2",SUM(L69:V69),A69="Grade 3",SUM(L69:S69)),"")</f>
      </c>
      <c r="X69" s="57"/>
    </row>
    <row r="70" ht="19.95" customHeight="1" spans="1:24" x14ac:dyDescent="0.25">
      <c r="A70" s="50"/>
      <c r="B70" s="51"/>
      <c r="C70" s="51"/>
      <c r="D70" s="52"/>
      <c r="E70" s="53"/>
      <c r="F70" s="54"/>
      <c r="G70" s="54"/>
      <c r="H70" s="54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6">
        <f t="array" ref="W70">IF(A70&lt;&gt;"",_xlfn.IFS(A70="Grade 1",SUM(L70:S70),A70="Grade 2",SUM(L70:V70),A70="Grade 3",SUM(L70:S70)),"")</f>
      </c>
      <c r="X70" s="57"/>
    </row>
    <row r="71" ht="19.95" customHeight="1" spans="1:24" x14ac:dyDescent="0.25">
      <c r="A71" s="50"/>
      <c r="B71" s="51"/>
      <c r="C71" s="51"/>
      <c r="D71" s="52"/>
      <c r="E71" s="53"/>
      <c r="F71" s="54"/>
      <c r="G71" s="54"/>
      <c r="H71" s="54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6">
        <f t="array" ref="W71">IF(A71&lt;&gt;"",_xlfn.IFS(A71="Grade 1",SUM(L71:S71),A71="Grade 2",SUM(L71:V71),A71="Grade 3",SUM(L71:S71)),"")</f>
      </c>
      <c r="X71" s="57"/>
    </row>
    <row r="72" ht="19.95" customHeight="1" spans="1:24" x14ac:dyDescent="0.25">
      <c r="A72" s="50"/>
      <c r="B72" s="51"/>
      <c r="C72" s="51"/>
      <c r="D72" s="52"/>
      <c r="E72" s="53"/>
      <c r="F72" s="54"/>
      <c r="G72" s="54"/>
      <c r="H72" s="54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6">
        <f t="array" ref="W72">IF(A72&lt;&gt;"",_xlfn.IFS(A72="Grade 1",SUM(L72:S72),A72="Grade 2",SUM(L72:V72),A72="Grade 3",SUM(L72:S72)),"")</f>
      </c>
      <c r="X72" s="57"/>
    </row>
    <row r="73" ht="19.95" customHeight="1" spans="1:24" x14ac:dyDescent="0.25">
      <c r="A73" s="50"/>
      <c r="B73" s="51"/>
      <c r="C73" s="51"/>
      <c r="D73" s="52"/>
      <c r="E73" s="53"/>
      <c r="F73" s="54"/>
      <c r="G73" s="54"/>
      <c r="H73" s="54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6">
        <f t="array" ref="W73">IF(A73&lt;&gt;"",_xlfn.IFS(A73="Grade 1",SUM(L73:S73),A73="Grade 2",SUM(L73:V73),A73="Grade 3",SUM(L73:S73)),"")</f>
      </c>
      <c r="X73" s="57"/>
    </row>
    <row r="74" ht="19.95" customHeight="1" spans="1:24" x14ac:dyDescent="0.25">
      <c r="A74" s="50"/>
      <c r="B74" s="51"/>
      <c r="C74" s="51"/>
      <c r="D74" s="52"/>
      <c r="E74" s="53"/>
      <c r="F74" s="54"/>
      <c r="G74" s="54"/>
      <c r="H74" s="54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6">
        <f t="array" ref="W74">IF(A74&lt;&gt;"",_xlfn.IFS(A74="Grade 1",SUM(L74:S74),A74="Grade 2",SUM(L74:V74),A74="Grade 3",SUM(L74:S74)),"")</f>
      </c>
      <c r="X74" s="57"/>
    </row>
    <row r="75" ht="19.95" customHeight="1" spans="1:24" x14ac:dyDescent="0.25">
      <c r="A75" s="50"/>
      <c r="B75" s="51"/>
      <c r="C75" s="51"/>
      <c r="D75" s="52"/>
      <c r="E75" s="53"/>
      <c r="F75" s="54"/>
      <c r="G75" s="54"/>
      <c r="H75" s="54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6">
        <f t="array" ref="W75">IF(A75&lt;&gt;"",_xlfn.IFS(A75="Grade 1",SUM(L75:S75),A75="Grade 2",SUM(L75:V75),A75="Grade 3",SUM(L75:S75)),"")</f>
      </c>
      <c r="X75" s="57" t="str">
        <f t="shared" ref="X75:X138" si="1">IF(ISBLANK(A75)," ",IF(SUM(G75:K75)=E75,"Data Validated","Data with Error"))</f>
        <v> </v>
      </c>
    </row>
    <row r="76" ht="19.95" customHeight="1" spans="1:24" x14ac:dyDescent="0.25">
      <c r="A76" s="50"/>
      <c r="B76" s="51"/>
      <c r="C76" s="51"/>
      <c r="D76" s="52"/>
      <c r="E76" s="53"/>
      <c r="F76" s="54"/>
      <c r="G76" s="54"/>
      <c r="H76" s="54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6">
        <f t="array" ref="W76">IF(A76&lt;&gt;"",_xlfn.IFS(A76="Grade 1",SUM(L76:S76),A76="Grade 2",SUM(L76:V76),A76="Grade 3",SUM(L76:S76)),"")</f>
      </c>
      <c r="X76" s="57"/>
    </row>
    <row r="77" ht="19.95" customHeight="1" spans="1:24" x14ac:dyDescent="0.25">
      <c r="A77" s="50"/>
      <c r="B77" s="51"/>
      <c r="C77" s="51"/>
      <c r="D77" s="52"/>
      <c r="E77" s="53"/>
      <c r="F77" s="54"/>
      <c r="G77" s="54"/>
      <c r="H77" s="54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6">
        <f t="array" ref="W77">IF(A77&lt;&gt;"",_xlfn.IFS(A77="Grade 1",SUM(L77:S77),A77="Grade 2",SUM(L77:V77),A77="Grade 3",SUM(L77:S77)),"")</f>
      </c>
      <c r="X77" s="57"/>
    </row>
    <row r="78" ht="19.95" customHeight="1" spans="1:24" x14ac:dyDescent="0.25">
      <c r="A78" s="50"/>
      <c r="B78" s="51"/>
      <c r="C78" s="51"/>
      <c r="D78" s="52"/>
      <c r="E78" s="53"/>
      <c r="F78" s="54"/>
      <c r="G78" s="54"/>
      <c r="H78" s="54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6">
        <f t="array" ref="W78">IF(A78&lt;&gt;"",_xlfn.IFS(A78="Grade 1",SUM(L78:S78),A78="Grade 2",SUM(L78:V78),A78="Grade 3",SUM(L78:S78)),"")</f>
      </c>
      <c r="X78" s="57"/>
    </row>
    <row r="79" ht="19.95" customHeight="1" spans="1:24" x14ac:dyDescent="0.25">
      <c r="A79" s="50"/>
      <c r="B79" s="51"/>
      <c r="C79" s="51"/>
      <c r="D79" s="52"/>
      <c r="E79" s="53"/>
      <c r="F79" s="54"/>
      <c r="G79" s="54"/>
      <c r="H79" s="54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6">
        <f t="array" ref="W79">IF(A79&lt;&gt;"",_xlfn.IFS(A79="Grade 1",SUM(L79:S79),A79="Grade 2",SUM(L79:V79),A79="Grade 3",SUM(L79:S79)),"")</f>
      </c>
      <c r="X79" s="57"/>
    </row>
    <row r="80" ht="19.95" customHeight="1" spans="1:24" x14ac:dyDescent="0.25">
      <c r="A80" s="50"/>
      <c r="B80" s="51"/>
      <c r="C80" s="51"/>
      <c r="D80" s="52"/>
      <c r="E80" s="53"/>
      <c r="F80" s="54"/>
      <c r="G80" s="54"/>
      <c r="H80" s="54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6">
        <f t="array" ref="W80">IF(A80&lt;&gt;"",_xlfn.IFS(A80="Grade 1",SUM(L80:S80),A80="Grade 2",SUM(L80:V80),A80="Grade 3",SUM(L80:S80)),"")</f>
      </c>
      <c r="X80" s="57"/>
    </row>
    <row r="81" ht="19.95" customHeight="1" spans="1:24" x14ac:dyDescent="0.25">
      <c r="A81" s="50"/>
      <c r="B81" s="51"/>
      <c r="C81" s="51"/>
      <c r="D81" s="52"/>
      <c r="E81" s="53"/>
      <c r="F81" s="54"/>
      <c r="G81" s="54"/>
      <c r="H81" s="54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6">
        <f t="array" ref="W81">IF(A81&lt;&gt;"",_xlfn.IFS(A81="Grade 1",SUM(L81:S81),A81="Grade 2",SUM(L81:V81),A81="Grade 3",SUM(L81:S81)),"")</f>
      </c>
      <c r="X81" s="57"/>
    </row>
    <row r="82" ht="19.95" customHeight="1" spans="1:24" x14ac:dyDescent="0.25">
      <c r="A82" s="50"/>
      <c r="B82" s="51"/>
      <c r="C82" s="51"/>
      <c r="D82" s="52"/>
      <c r="E82" s="53"/>
      <c r="F82" s="54"/>
      <c r="G82" s="54"/>
      <c r="H82" s="54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6">
        <f t="array" ref="W82">IF(A82&lt;&gt;"",_xlfn.IFS(A82="Grade 1",SUM(L82:S82),A82="Grade 2",SUM(L82:V82),A82="Grade 3",SUM(L82:S82)),"")</f>
      </c>
      <c r="X82" s="57"/>
    </row>
    <row r="83" ht="19.95" customHeight="1" spans="1:24" x14ac:dyDescent="0.25">
      <c r="A83" s="50"/>
      <c r="B83" s="51"/>
      <c r="C83" s="51"/>
      <c r="D83" s="52"/>
      <c r="E83" s="53"/>
      <c r="F83" s="54"/>
      <c r="G83" s="54"/>
      <c r="H83" s="54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6">
        <f t="array" ref="W83">IF(A83&lt;&gt;"",_xlfn.IFS(A83="Grade 1",SUM(L83:S83),A83="Grade 2",SUM(L83:V83),A83="Grade 3",SUM(L83:S83)),"")</f>
      </c>
      <c r="X83" s="57"/>
    </row>
    <row r="84" ht="19.95" customHeight="1" spans="1:24" x14ac:dyDescent="0.25">
      <c r="A84" s="50"/>
      <c r="B84" s="51"/>
      <c r="C84" s="51"/>
      <c r="D84" s="52"/>
      <c r="E84" s="53"/>
      <c r="F84" s="54"/>
      <c r="G84" s="54"/>
      <c r="H84" s="54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6">
        <f t="array" ref="W84">IF(A84&lt;&gt;"",_xlfn.IFS(A84="Grade 1",SUM(L84:S84),A84="Grade 2",SUM(L84:V84),A84="Grade 3",SUM(L84:S84)),"")</f>
      </c>
      <c r="X84" s="57"/>
    </row>
    <row r="85" ht="19.95" customHeight="1" spans="1:24" x14ac:dyDescent="0.25">
      <c r="A85" s="50"/>
      <c r="B85" s="51"/>
      <c r="C85" s="51"/>
      <c r="D85" s="52"/>
      <c r="E85" s="53"/>
      <c r="F85" s="54"/>
      <c r="G85" s="54"/>
      <c r="H85" s="54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6">
        <f t="array" ref="W85">IF(A85&lt;&gt;"",_xlfn.IFS(A85="Grade 1",SUM(L85:S85),A85="Grade 2",SUM(L85:V85),A85="Grade 3",SUM(L85:S85)),"")</f>
      </c>
      <c r="X85" s="57"/>
    </row>
    <row r="86" ht="19.95" customHeight="1" spans="1:24" x14ac:dyDescent="0.25">
      <c r="A86" s="50"/>
      <c r="B86" s="51"/>
      <c r="C86" s="51"/>
      <c r="D86" s="52"/>
      <c r="E86" s="53"/>
      <c r="F86" s="54"/>
      <c r="G86" s="54"/>
      <c r="H86" s="54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6">
        <f t="array" ref="W86">IF(A86&lt;&gt;"",_xlfn.IFS(A86="Grade 1",SUM(L86:S86),A86="Grade 2",SUM(L86:V86),A86="Grade 3",SUM(L86:S86)),"")</f>
      </c>
      <c r="X86" s="57"/>
    </row>
    <row r="87" ht="19.95" customHeight="1" spans="1:24" x14ac:dyDescent="0.25">
      <c r="A87" s="50"/>
      <c r="B87" s="51"/>
      <c r="C87" s="51"/>
      <c r="D87" s="52"/>
      <c r="E87" s="53"/>
      <c r="F87" s="54"/>
      <c r="G87" s="54"/>
      <c r="H87" s="54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6">
        <f t="array" ref="W87">IF(A87&lt;&gt;"",_xlfn.IFS(A87="Grade 1",SUM(L87:S87),A87="Grade 2",SUM(L87:V87),A87="Grade 3",SUM(L87:S87)),"")</f>
      </c>
      <c r="X87" s="57"/>
    </row>
    <row r="88" ht="19.95" customHeight="1" spans="1:24" x14ac:dyDescent="0.25">
      <c r="A88" s="50"/>
      <c r="B88" s="51"/>
      <c r="C88" s="51"/>
      <c r="D88" s="52"/>
      <c r="E88" s="53"/>
      <c r="F88" s="54"/>
      <c r="G88" s="54"/>
      <c r="H88" s="54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6">
        <f t="array" ref="W88">IF(A88&lt;&gt;"",_xlfn.IFS(A88="Grade 1",SUM(L88:S88),A88="Grade 2",SUM(L88:V88),A88="Grade 3",SUM(L88:S88)),"")</f>
      </c>
      <c r="X88" s="57"/>
    </row>
    <row r="89" ht="19.95" customHeight="1" spans="1:24" x14ac:dyDescent="0.25">
      <c r="A89" s="50"/>
      <c r="B89" s="51"/>
      <c r="C89" s="51"/>
      <c r="D89" s="52"/>
      <c r="E89" s="53"/>
      <c r="F89" s="54"/>
      <c r="G89" s="54"/>
      <c r="H89" s="54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6">
        <f t="array" ref="W89">IF(A89&lt;&gt;"",_xlfn.IFS(A89="Grade 1",SUM(L89:S89),A89="Grade 2",SUM(L89:V89),A89="Grade 3",SUM(L89:S89)),"")</f>
      </c>
      <c r="X89" s="57"/>
    </row>
    <row r="90" ht="19.95" customHeight="1" spans="1:24" x14ac:dyDescent="0.25">
      <c r="A90" s="50"/>
      <c r="B90" s="51"/>
      <c r="C90" s="51"/>
      <c r="D90" s="52"/>
      <c r="E90" s="53"/>
      <c r="F90" s="54"/>
      <c r="G90" s="54"/>
      <c r="H90" s="54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6">
        <f t="array" ref="W90">IF(A90&lt;&gt;"",_xlfn.IFS(A90="Grade 1",SUM(L90:S90),A90="Grade 2",SUM(L90:V90),A90="Grade 3",SUM(L90:S90)),"")</f>
      </c>
      <c r="X90" s="57"/>
    </row>
    <row r="91" ht="19.95" customHeight="1" spans="1:24" x14ac:dyDescent="0.25">
      <c r="A91" s="50"/>
      <c r="B91" s="51"/>
      <c r="C91" s="51"/>
      <c r="D91" s="52"/>
      <c r="E91" s="53"/>
      <c r="F91" s="54"/>
      <c r="G91" s="54"/>
      <c r="H91" s="54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6">
        <f t="array" ref="W91">IF(A91&lt;&gt;"",_xlfn.IFS(A91="Grade 1",SUM(L91:S91),A91="Grade 2",SUM(L91:V91),A91="Grade 3",SUM(L91:S91)),"")</f>
      </c>
      <c r="X91" s="57"/>
    </row>
    <row r="92" ht="19.95" customHeight="1" spans="1:24" x14ac:dyDescent="0.25">
      <c r="A92" s="50"/>
      <c r="B92" s="51"/>
      <c r="C92" s="51"/>
      <c r="D92" s="52"/>
      <c r="E92" s="53"/>
      <c r="F92" s="54"/>
      <c r="G92" s="54"/>
      <c r="H92" s="54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6">
        <f t="array" ref="W92">IF(A92&lt;&gt;"",_xlfn.IFS(A92="Grade 1",SUM(L92:S92),A92="Grade 2",SUM(L92:V92),A92="Grade 3",SUM(L92:S92)),"")</f>
      </c>
      <c r="X92" s="57"/>
    </row>
    <row r="93" ht="19.95" customHeight="1" spans="1:24" x14ac:dyDescent="0.25">
      <c r="A93" s="50"/>
      <c r="B93" s="51"/>
      <c r="C93" s="51"/>
      <c r="D93" s="52"/>
      <c r="E93" s="53"/>
      <c r="F93" s="54"/>
      <c r="G93" s="54"/>
      <c r="H93" s="54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6">
        <f t="array" ref="W93">IF(A93&lt;&gt;"",_xlfn.IFS(A93="Grade 1",SUM(L93:S93),A93="Grade 2",SUM(L93:V93),A93="Grade 3",SUM(L93:S93)),"")</f>
      </c>
      <c r="X93" s="57"/>
    </row>
    <row r="94" ht="19.95" customHeight="1" spans="1:24" x14ac:dyDescent="0.25">
      <c r="A94" s="50"/>
      <c r="B94" s="51"/>
      <c r="C94" s="51"/>
      <c r="D94" s="52"/>
      <c r="E94" s="53"/>
      <c r="F94" s="54"/>
      <c r="G94" s="54"/>
      <c r="H94" s="54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6">
        <f t="array" ref="W94">IF(A94&lt;&gt;"",_xlfn.IFS(A94="Grade 1",SUM(L94:S94),A94="Grade 2",SUM(L94:V94),A94="Grade 3",SUM(L94:S94)),"")</f>
      </c>
      <c r="X94" s="57"/>
    </row>
    <row r="95" ht="19.95" customHeight="1" spans="1:24" x14ac:dyDescent="0.25">
      <c r="A95" s="50"/>
      <c r="B95" s="51"/>
      <c r="C95" s="51"/>
      <c r="D95" s="52"/>
      <c r="E95" s="53"/>
      <c r="F95" s="54"/>
      <c r="G95" s="54"/>
      <c r="H95" s="54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6">
        <f t="array" ref="W95">IF(A95&lt;&gt;"",_xlfn.IFS(A95="Grade 1",SUM(L95:S95),A95="Grade 2",SUM(L95:V95),A95="Grade 3",SUM(L95:S95)),"")</f>
      </c>
      <c r="X95" s="57"/>
    </row>
    <row r="96" ht="19.95" customHeight="1" spans="1:24" x14ac:dyDescent="0.25">
      <c r="A96" s="50"/>
      <c r="B96" s="51"/>
      <c r="C96" s="51"/>
      <c r="D96" s="52"/>
      <c r="E96" s="53"/>
      <c r="F96" s="54"/>
      <c r="G96" s="54"/>
      <c r="H96" s="54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6">
        <f t="array" ref="W96">IF(A96&lt;&gt;"",_xlfn.IFS(A96="Grade 1",SUM(L96:S96),A96="Grade 2",SUM(L96:V96),A96="Grade 3",SUM(L96:S96)),"")</f>
      </c>
      <c r="X96" s="57"/>
    </row>
    <row r="97" ht="19.95" customHeight="1" spans="1:24" x14ac:dyDescent="0.25">
      <c r="A97" s="50"/>
      <c r="B97" s="51"/>
      <c r="C97" s="51"/>
      <c r="D97" s="52"/>
      <c r="E97" s="53"/>
      <c r="F97" s="54"/>
      <c r="G97" s="54"/>
      <c r="H97" s="54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6">
        <f t="array" ref="W97">IF(A97&lt;&gt;"",_xlfn.IFS(A97="Grade 1",SUM(L97:S97),A97="Grade 2",SUM(L97:V97),A97="Grade 3",SUM(L97:S97)),"")</f>
      </c>
      <c r="X97" s="57"/>
    </row>
    <row r="98" ht="20.4" customHeight="1" spans="1:24" x14ac:dyDescent="0.25">
      <c r="A98" s="50"/>
      <c r="B98" s="51"/>
      <c r="C98" s="51"/>
      <c r="D98" s="52"/>
      <c r="E98" s="53"/>
      <c r="F98" s="54"/>
      <c r="G98" s="54"/>
      <c r="H98" s="54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6">
        <f t="array" ref="W98">IF(A98&lt;&gt;"",_xlfn.IFS(A98="Grade 1",SUM(L98:S98),A98="Grade 2",SUM(L98:V98),A98="Grade 3",SUM(L98:S98)),"")</f>
      </c>
      <c r="X98" s="57"/>
    </row>
    <row r="99" ht="19.95" customHeight="1" spans="1:24" x14ac:dyDescent="0.25">
      <c r="A99" s="50"/>
      <c r="B99" s="51"/>
      <c r="C99" s="51"/>
      <c r="D99" s="52"/>
      <c r="E99" s="53"/>
      <c r="F99" s="54"/>
      <c r="G99" s="54"/>
      <c r="H99" s="54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6">
        <f t="array" ref="W99">IF(A99&lt;&gt;"",_xlfn.IFS(A99="Grade 1",SUM(L99:S99),A99="Grade 2",SUM(L99:V99),A99="Grade 3",SUM(L99:S99)),"")</f>
      </c>
      <c r="X99" s="57"/>
    </row>
    <row r="100" ht="19.95" customHeight="1" spans="1:24" x14ac:dyDescent="0.25">
      <c r="A100" s="50"/>
      <c r="B100" s="51"/>
      <c r="C100" s="51"/>
      <c r="D100" s="52"/>
      <c r="E100" s="53"/>
      <c r="F100" s="54"/>
      <c r="G100" s="54"/>
      <c r="H100" s="54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6">
        <f t="array" ref="W100">IF(A100&lt;&gt;"",_xlfn.IFS(A100="Grade 1",SUM(L100:S100),A100="Grade 2",SUM(L100:V100),A100="Grade 3",SUM(L100:S100)),"")</f>
      </c>
      <c r="X100" s="57"/>
    </row>
    <row r="101" ht="19.95" customHeight="1" spans="1:24" x14ac:dyDescent="0.25">
      <c r="A101" s="50"/>
      <c r="B101" s="51"/>
      <c r="C101" s="51"/>
      <c r="D101" s="52"/>
      <c r="E101" s="53"/>
      <c r="F101" s="54"/>
      <c r="G101" s="54"/>
      <c r="H101" s="54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6">
        <f t="array" ref="W101">IF(A101&lt;&gt;"",_xlfn.IFS(A101="Grade 1",SUM(L101:S101),A101="Grade 2",SUM(L101:V101),A101="Grade 3",SUM(L101:S101)),"")</f>
      </c>
      <c r="X101" s="57"/>
    </row>
    <row r="102" ht="19.95" customHeight="1" spans="1:24" x14ac:dyDescent="0.25">
      <c r="A102" s="50"/>
      <c r="B102" s="51"/>
      <c r="C102" s="51"/>
      <c r="D102" s="52"/>
      <c r="E102" s="53"/>
      <c r="F102" s="54"/>
      <c r="G102" s="54"/>
      <c r="H102" s="54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6">
        <f t="array" ref="W102">IF(A102&lt;&gt;"",_xlfn.IFS(A102="Grade 1",SUM(L102:S102),A102="Grade 2",SUM(L102:V102),A102="Grade 3",SUM(L102:S102)),"")</f>
      </c>
      <c r="X102" s="57"/>
    </row>
    <row r="103" ht="19.95" customHeight="1" spans="1:24" x14ac:dyDescent="0.25">
      <c r="A103" s="50"/>
      <c r="B103" s="51"/>
      <c r="C103" s="51"/>
      <c r="D103" s="52"/>
      <c r="E103" s="53"/>
      <c r="F103" s="54"/>
      <c r="G103" s="54"/>
      <c r="H103" s="54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6">
        <f t="array" ref="W103">IF(A103&lt;&gt;"",_xlfn.IFS(A103="Grade 1",SUM(L103:S103),A103="Grade 2",SUM(L103:V103),A103="Grade 3",SUM(L103:S103)),"")</f>
      </c>
      <c r="X103" s="57"/>
    </row>
    <row r="104" ht="19.95" customHeight="1" spans="1:24" x14ac:dyDescent="0.25">
      <c r="A104" s="50"/>
      <c r="B104" s="51"/>
      <c r="C104" s="51"/>
      <c r="D104" s="52"/>
      <c r="E104" s="53"/>
      <c r="F104" s="54"/>
      <c r="G104" s="54"/>
      <c r="H104" s="54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6">
        <f t="array" ref="W104">IF(A104&lt;&gt;"",_xlfn.IFS(A104="Grade 1",SUM(L104:S104),A104="Grade 2",SUM(L104:V104),A104="Grade 3",SUM(L104:S104)),"")</f>
      </c>
      <c r="X104" s="57"/>
    </row>
    <row r="105" ht="19.95" customHeight="1" spans="1:24" x14ac:dyDescent="0.25">
      <c r="A105" s="50"/>
      <c r="B105" s="51"/>
      <c r="C105" s="51"/>
      <c r="D105" s="52"/>
      <c r="E105" s="53"/>
      <c r="F105" s="54"/>
      <c r="G105" s="54"/>
      <c r="H105" s="54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6">
        <f t="array" ref="W105">IF(A105&lt;&gt;"",_xlfn.IFS(A105="Grade 1",SUM(L105:S105),A105="Grade 2",SUM(L105:V105),A105="Grade 3",SUM(L105:S105)),"")</f>
      </c>
      <c r="X105" s="57"/>
    </row>
    <row r="106" ht="19.95" customHeight="1" spans="1:24" x14ac:dyDescent="0.25">
      <c r="A106" s="50"/>
      <c r="B106" s="51"/>
      <c r="C106" s="51"/>
      <c r="D106" s="52"/>
      <c r="E106" s="53"/>
      <c r="F106" s="54"/>
      <c r="G106" s="54"/>
      <c r="H106" s="54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6">
        <f t="array" ref="W106">IF(A106&lt;&gt;"",_xlfn.IFS(A106="Grade 1",SUM(L106:S106),A106="Grade 2",SUM(L106:V106),A106="Grade 3",SUM(L106:S106)),"")</f>
      </c>
      <c r="X106" s="57"/>
    </row>
    <row r="107" ht="19.95" customHeight="1" spans="1:24" x14ac:dyDescent="0.25">
      <c r="A107" s="50"/>
      <c r="B107" s="51"/>
      <c r="C107" s="51"/>
      <c r="D107" s="52"/>
      <c r="E107" s="53"/>
      <c r="F107" s="54"/>
      <c r="G107" s="54"/>
      <c r="H107" s="54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6">
        <f t="array" ref="W107">IF(A107&lt;&gt;"",_xlfn.IFS(A107="Grade 1",SUM(L107:S107),A107="Grade 2",SUM(L107:V107),A107="Grade 3",SUM(L107:S107)),"")</f>
      </c>
      <c r="X107" s="57"/>
    </row>
    <row r="108" ht="19.95" customHeight="1" spans="1:24" x14ac:dyDescent="0.25">
      <c r="A108" s="50"/>
      <c r="B108" s="51"/>
      <c r="C108" s="51"/>
      <c r="D108" s="52"/>
      <c r="E108" s="53"/>
      <c r="F108" s="54"/>
      <c r="G108" s="54"/>
      <c r="H108" s="54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6">
        <f t="array" ref="W108">IF(A108&lt;&gt;"",_xlfn.IFS(A108="Grade 1",SUM(L108:S108),A108="Grade 2",SUM(L108:V108),A108="Grade 3",SUM(L108:S108)),"")</f>
      </c>
      <c r="X108" s="57"/>
    </row>
    <row r="109" ht="19.95" customHeight="1" spans="1:24" x14ac:dyDescent="0.25">
      <c r="A109" s="50"/>
      <c r="B109" s="51"/>
      <c r="C109" s="51"/>
      <c r="D109" s="52"/>
      <c r="E109" s="53"/>
      <c r="F109" s="54"/>
      <c r="G109" s="54"/>
      <c r="H109" s="54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6">
        <f t="array" ref="W109">IF(A109&lt;&gt;"",_xlfn.IFS(A109="Grade 1",SUM(L109:S109),A109="Grade 2",SUM(L109:V109),A109="Grade 3",SUM(L109:S109)),"")</f>
      </c>
      <c r="X109" s="57"/>
    </row>
    <row r="110" ht="19.95" customHeight="1" spans="1:24" x14ac:dyDescent="0.25">
      <c r="A110" s="50"/>
      <c r="B110" s="51"/>
      <c r="C110" s="51"/>
      <c r="D110" s="52"/>
      <c r="E110" s="53"/>
      <c r="F110" s="54"/>
      <c r="G110" s="54"/>
      <c r="H110" s="54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6">
        <f t="array" ref="W110">IF(A110&lt;&gt;"",_xlfn.IFS(A110="Grade 1",SUM(L110:S110),A110="Grade 2",SUM(L110:V110),A110="Grade 3",SUM(L110:S110)),"")</f>
      </c>
      <c r="X110" s="57"/>
    </row>
    <row r="111" ht="19.95" customHeight="1" spans="1:24" x14ac:dyDescent="0.25">
      <c r="A111" s="50"/>
      <c r="B111" s="51"/>
      <c r="C111" s="51"/>
      <c r="D111" s="52"/>
      <c r="E111" s="53"/>
      <c r="F111" s="54"/>
      <c r="G111" s="54"/>
      <c r="H111" s="54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6">
        <f t="array" ref="W111">IF(A111&lt;&gt;"",_xlfn.IFS(A111="Grade 1",SUM(L111:S111),A111="Grade 2",SUM(L111:V111),A111="Grade 3",SUM(L111:S111)),"")</f>
      </c>
      <c r="X111" s="57"/>
    </row>
    <row r="112" ht="19.95" customHeight="1" spans="1:24" x14ac:dyDescent="0.25">
      <c r="A112" s="50"/>
      <c r="B112" s="51"/>
      <c r="C112" s="51"/>
      <c r="D112" s="52"/>
      <c r="E112" s="53"/>
      <c r="F112" s="54"/>
      <c r="G112" s="54"/>
      <c r="H112" s="54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6">
        <f t="array" ref="W112">IF(A112&lt;&gt;"",_xlfn.IFS(A112="Grade 1",SUM(L112:S112),A112="Grade 2",SUM(L112:V112),A112="Grade 3",SUM(L112:S112)),"")</f>
      </c>
      <c r="X112" s="57"/>
    </row>
    <row r="113" ht="19.95" customHeight="1" spans="1:24" x14ac:dyDescent="0.25">
      <c r="A113" s="50"/>
      <c r="B113" s="51"/>
      <c r="C113" s="51"/>
      <c r="D113" s="52"/>
      <c r="E113" s="53"/>
      <c r="F113" s="54"/>
      <c r="G113" s="54"/>
      <c r="H113" s="54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6">
        <f t="array" ref="W113">IF(A113&lt;&gt;"",_xlfn.IFS(A113="Grade 1",SUM(L113:S113),A113="Grade 2",SUM(L113:V113),A113="Grade 3",SUM(L113:S113)),"")</f>
      </c>
      <c r="X113" s="57"/>
    </row>
    <row r="114" ht="19.95" customHeight="1" spans="1:24" x14ac:dyDescent="0.25">
      <c r="A114" s="50"/>
      <c r="B114" s="51"/>
      <c r="C114" s="51"/>
      <c r="D114" s="52"/>
      <c r="E114" s="53"/>
      <c r="F114" s="54"/>
      <c r="G114" s="54"/>
      <c r="H114" s="54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6">
        <f t="array" ref="W114">IF(A114&lt;&gt;"",_xlfn.IFS(A114="Grade 1",SUM(L114:S114),A114="Grade 2",SUM(L114:V114),A114="Grade 3",SUM(L114:S114)),"")</f>
      </c>
      <c r="X114" s="57"/>
    </row>
    <row r="115" ht="19.95" customHeight="1" spans="1:24" x14ac:dyDescent="0.25">
      <c r="A115" s="50"/>
      <c r="B115" s="51"/>
      <c r="C115" s="51"/>
      <c r="D115" s="52"/>
      <c r="E115" s="53"/>
      <c r="F115" s="54"/>
      <c r="G115" s="54"/>
      <c r="H115" s="54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6">
        <f t="array" ref="W115">IF(A115&lt;&gt;"",_xlfn.IFS(A115="Grade 1",SUM(L115:S115),A115="Grade 2",SUM(L115:V115),A115="Grade 3",SUM(L115:S115)),"")</f>
      </c>
      <c r="X115" s="57"/>
    </row>
    <row r="116" ht="19.95" customHeight="1" spans="1:24" x14ac:dyDescent="0.25">
      <c r="A116" s="50"/>
      <c r="B116" s="51"/>
      <c r="C116" s="51"/>
      <c r="D116" s="52"/>
      <c r="E116" s="53"/>
      <c r="F116" s="54"/>
      <c r="G116" s="54"/>
      <c r="H116" s="54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6">
        <f t="array" ref="W116">IF(A116&lt;&gt;"",_xlfn.IFS(A116="Grade 1",SUM(L116:S116),A116="Grade 2",SUM(L116:V116),A116="Grade 3",SUM(L116:S116)),"")</f>
      </c>
      <c r="X116" s="57"/>
    </row>
    <row r="117" ht="19.95" customHeight="1" spans="1:24" x14ac:dyDescent="0.25">
      <c r="A117" s="50"/>
      <c r="B117" s="51"/>
      <c r="C117" s="51"/>
      <c r="D117" s="52"/>
      <c r="E117" s="53"/>
      <c r="F117" s="54"/>
      <c r="G117" s="54"/>
      <c r="H117" s="54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6">
        <f t="array" ref="W117">IF(A117&lt;&gt;"",_xlfn.IFS(A117="Grade 1",SUM(L117:S117),A117="Grade 2",SUM(L117:V117),A117="Grade 3",SUM(L117:S117)),"")</f>
      </c>
      <c r="X117" s="57"/>
    </row>
    <row r="118" ht="19.95" customHeight="1" spans="1:24" x14ac:dyDescent="0.25">
      <c r="A118" s="50"/>
      <c r="B118" s="51"/>
      <c r="C118" s="51"/>
      <c r="D118" s="52"/>
      <c r="E118" s="53"/>
      <c r="F118" s="54"/>
      <c r="G118" s="54"/>
      <c r="H118" s="54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6">
        <f t="array" ref="W118">IF(A118&lt;&gt;"",_xlfn.IFS(A118="Grade 1",SUM(L118:S118),A118="Grade 2",SUM(L118:V118),A118="Grade 3",SUM(L118:S118)),"")</f>
      </c>
      <c r="X118" s="57"/>
    </row>
    <row r="119" ht="19.95" customHeight="1" spans="1:24" x14ac:dyDescent="0.25">
      <c r="A119" s="50"/>
      <c r="B119" s="51"/>
      <c r="C119" s="51"/>
      <c r="D119" s="52"/>
      <c r="E119" s="53"/>
      <c r="F119" s="54"/>
      <c r="G119" s="54"/>
      <c r="H119" s="54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6">
        <f t="array" ref="W119">IF(A119&lt;&gt;"",_xlfn.IFS(A119="Grade 1",SUM(L119:S119),A119="Grade 2",SUM(L119:V119),A119="Grade 3",SUM(L119:S119)),"")</f>
      </c>
      <c r="X119" s="57"/>
    </row>
    <row r="120" ht="19.95" customHeight="1" spans="1:24" x14ac:dyDescent="0.25">
      <c r="A120" s="50"/>
      <c r="B120" s="51"/>
      <c r="C120" s="51"/>
      <c r="D120" s="52"/>
      <c r="E120" s="53"/>
      <c r="F120" s="54"/>
      <c r="G120" s="54"/>
      <c r="H120" s="54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6">
        <f t="array" ref="W120">IF(A120&lt;&gt;"",_xlfn.IFS(A120="Grade 1",SUM(L120:S120),A120="Grade 2",SUM(L120:V120),A120="Grade 3",SUM(L120:S120)),"")</f>
      </c>
      <c r="X120" s="57"/>
    </row>
    <row r="121" ht="19.95" customHeight="1" spans="1:24" x14ac:dyDescent="0.25">
      <c r="A121" s="50"/>
      <c r="B121" s="51"/>
      <c r="C121" s="51"/>
      <c r="D121" s="52"/>
      <c r="E121" s="53"/>
      <c r="F121" s="54"/>
      <c r="G121" s="54"/>
      <c r="H121" s="54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6">
        <f t="array" ref="W121">IF(A121&lt;&gt;"",_xlfn.IFS(A121="Grade 1",SUM(L121:S121),A121="Grade 2",SUM(L121:V121),A121="Grade 3",SUM(L121:S121)),"")</f>
      </c>
      <c r="X121" s="57"/>
    </row>
    <row r="122" ht="19.95" customHeight="1" spans="1:24" x14ac:dyDescent="0.25">
      <c r="A122" s="50"/>
      <c r="B122" s="51"/>
      <c r="C122" s="51"/>
      <c r="D122" s="52"/>
      <c r="E122" s="53"/>
      <c r="F122" s="54"/>
      <c r="G122" s="54"/>
      <c r="H122" s="54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6">
        <f t="array" ref="W122">IF(A122&lt;&gt;"",_xlfn.IFS(A122="Grade 1",SUM(L122:S122),A122="Grade 2",SUM(L122:V122),A122="Grade 3",SUM(L122:S122)),"")</f>
      </c>
      <c r="X122" s="57"/>
    </row>
    <row r="123" ht="19.95" customHeight="1" spans="1:24" x14ac:dyDescent="0.25">
      <c r="A123" s="50"/>
      <c r="B123" s="51"/>
      <c r="C123" s="51"/>
      <c r="D123" s="52"/>
      <c r="E123" s="53"/>
      <c r="F123" s="54"/>
      <c r="G123" s="54"/>
      <c r="H123" s="54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6">
        <f t="array" ref="W123">IF(A123&lt;&gt;"",_xlfn.IFS(A123="Grade 1",SUM(L123:S123),A123="Grade 2",SUM(L123:V123),A123="Grade 3",SUM(L123:S123)),"")</f>
      </c>
      <c r="X123" s="57"/>
    </row>
    <row r="124" ht="19.95" customHeight="1" spans="1:24" x14ac:dyDescent="0.25">
      <c r="A124" s="50"/>
      <c r="B124" s="51"/>
      <c r="C124" s="51"/>
      <c r="D124" s="52"/>
      <c r="E124" s="53"/>
      <c r="F124" s="54"/>
      <c r="G124" s="54"/>
      <c r="H124" s="54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6">
        <f t="array" ref="W124">IF(A124&lt;&gt;"",_xlfn.IFS(A124="Grade 1",SUM(L124:S124),A124="Grade 2",SUM(L124:V124),A124="Grade 3",SUM(L124:S124)),"")</f>
      </c>
      <c r="X124" s="57"/>
    </row>
    <row r="125" ht="19.95" customHeight="1" spans="1:24" x14ac:dyDescent="0.25">
      <c r="A125" s="50"/>
      <c r="B125" s="51"/>
      <c r="C125" s="51"/>
      <c r="D125" s="52"/>
      <c r="E125" s="53"/>
      <c r="F125" s="54"/>
      <c r="G125" s="54"/>
      <c r="H125" s="54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6">
        <f t="array" ref="W125">IF(A125&lt;&gt;"",_xlfn.IFS(A125="Grade 1",SUM(L125:S125),A125="Grade 2",SUM(L125:V125),A125="Grade 3",SUM(L125:S125)),"")</f>
      </c>
      <c r="X125" s="57"/>
    </row>
    <row r="126" ht="19.95" customHeight="1" spans="1:24" x14ac:dyDescent="0.25">
      <c r="A126" s="50"/>
      <c r="B126" s="51"/>
      <c r="C126" s="51"/>
      <c r="D126" s="52"/>
      <c r="E126" s="53"/>
      <c r="F126" s="54"/>
      <c r="G126" s="54"/>
      <c r="H126" s="54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6">
        <f t="array" ref="W126">IF(A126&lt;&gt;"",_xlfn.IFS(A126="Grade 1",SUM(L126:S126),A126="Grade 2",SUM(L126:V126),A126="Grade 3",SUM(L126:S126)),"")</f>
      </c>
      <c r="X126" s="57"/>
    </row>
    <row r="127" ht="19.95" customHeight="1" spans="1:24" x14ac:dyDescent="0.25">
      <c r="A127" s="50"/>
      <c r="B127" s="51"/>
      <c r="C127" s="51"/>
      <c r="D127" s="52"/>
      <c r="E127" s="53"/>
      <c r="F127" s="54"/>
      <c r="G127" s="54"/>
      <c r="H127" s="54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6">
        <f t="array" ref="W127">IF(A127&lt;&gt;"",_xlfn.IFS(A127="Grade 1",SUM(L127:S127),A127="Grade 2",SUM(L127:V127),A127="Grade 3",SUM(L127:S127)),"")</f>
      </c>
      <c r="X127" s="57"/>
    </row>
    <row r="128" ht="19.95" customHeight="1" spans="1:24" x14ac:dyDescent="0.25">
      <c r="A128" s="50"/>
      <c r="B128" s="51"/>
      <c r="C128" s="51"/>
      <c r="D128" s="52"/>
      <c r="E128" s="53"/>
      <c r="F128" s="54"/>
      <c r="G128" s="54"/>
      <c r="H128" s="54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6">
        <f t="array" ref="W128">IF(A128&lt;&gt;"",_xlfn.IFS(A128="Grade 1",SUM(L128:S128),A128="Grade 2",SUM(L128:V128),A128="Grade 3",SUM(L128:S128)),"")</f>
      </c>
      <c r="X128" s="57"/>
    </row>
    <row r="129" ht="19.95" customHeight="1" spans="1:24" x14ac:dyDescent="0.25">
      <c r="A129" s="50"/>
      <c r="B129" s="51"/>
      <c r="C129" s="51"/>
      <c r="D129" s="52"/>
      <c r="E129" s="53"/>
      <c r="F129" s="54"/>
      <c r="G129" s="54"/>
      <c r="H129" s="54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6">
        <f t="array" ref="W129">IF(A129&lt;&gt;"",_xlfn.IFS(A129="Grade 1",SUM(L129:S129),A129="Grade 2",SUM(L129:V129),A129="Grade 3",SUM(L129:S129)),"")</f>
      </c>
      <c r="X129" s="57"/>
    </row>
    <row r="130" ht="19.95" customHeight="1" spans="1:24" x14ac:dyDescent="0.25">
      <c r="A130" s="50"/>
      <c r="B130" s="51"/>
      <c r="C130" s="51"/>
      <c r="D130" s="52"/>
      <c r="E130" s="53"/>
      <c r="F130" s="54"/>
      <c r="G130" s="54"/>
      <c r="H130" s="54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6">
        <f t="array" ref="W130">IF(A130&lt;&gt;"",_xlfn.IFS(A130="Grade 1",SUM(L130:S130),A130="Grade 2",SUM(L130:V130),A130="Grade 3",SUM(L130:S130)),"")</f>
      </c>
      <c r="X130" s="57"/>
    </row>
    <row r="131" ht="19.95" customHeight="1" spans="1:24" x14ac:dyDescent="0.25">
      <c r="A131" s="50"/>
      <c r="B131" s="51"/>
      <c r="C131" s="51"/>
      <c r="D131" s="52"/>
      <c r="E131" s="53"/>
      <c r="F131" s="54"/>
      <c r="G131" s="54"/>
      <c r="H131" s="54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6">
        <f t="array" ref="W131">IF(A131&lt;&gt;"",_xlfn.IFS(A131="Grade 1",SUM(L131:S131),A131="Grade 2",SUM(L131:V131),A131="Grade 3",SUM(L131:S131)),"")</f>
      </c>
      <c r="X131" s="57"/>
    </row>
    <row r="132" ht="19.95" customHeight="1" spans="1:24" x14ac:dyDescent="0.25">
      <c r="A132" s="50"/>
      <c r="B132" s="51"/>
      <c r="C132" s="51"/>
      <c r="D132" s="52"/>
      <c r="E132" s="53"/>
      <c r="F132" s="54"/>
      <c r="G132" s="54"/>
      <c r="H132" s="54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6">
        <f t="array" ref="W132">IF(A132&lt;&gt;"",_xlfn.IFS(A132="Grade 1",SUM(L132:S132),A132="Grade 2",SUM(L132:V132),A132="Grade 3",SUM(L132:S132)),"")</f>
      </c>
      <c r="X132" s="57"/>
    </row>
    <row r="133" ht="19.95" customHeight="1" spans="1:24" x14ac:dyDescent="0.25">
      <c r="A133" s="50"/>
      <c r="B133" s="51"/>
      <c r="C133" s="51"/>
      <c r="D133" s="52"/>
      <c r="E133" s="53"/>
      <c r="F133" s="54"/>
      <c r="G133" s="54"/>
      <c r="H133" s="54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6">
        <f t="array" ref="W133">IF(A133&lt;&gt;"",_xlfn.IFS(A133="Grade 1",SUM(L133:S133),A133="Grade 2",SUM(L133:V133),A133="Grade 3",SUM(L133:S133)),"")</f>
      </c>
      <c r="X133" s="57"/>
    </row>
    <row r="134" ht="19.95" customHeight="1" spans="1:24" x14ac:dyDescent="0.25">
      <c r="A134" s="50"/>
      <c r="B134" s="51"/>
      <c r="C134" s="51"/>
      <c r="D134" s="52"/>
      <c r="E134" s="53"/>
      <c r="F134" s="54"/>
      <c r="G134" s="54"/>
      <c r="H134" s="54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6">
        <f t="array" ref="W134">IF(A134&lt;&gt;"",_xlfn.IFS(A134="Grade 1",SUM(L134:S134),A134="Grade 2",SUM(L134:V134),A134="Grade 3",SUM(L134:S134)),"")</f>
      </c>
      <c r="X134" s="57"/>
    </row>
    <row r="135" ht="19.95" customHeight="1" spans="1:24" x14ac:dyDescent="0.25">
      <c r="A135" s="50"/>
      <c r="B135" s="51"/>
      <c r="C135" s="51"/>
      <c r="D135" s="52"/>
      <c r="E135" s="53"/>
      <c r="F135" s="54"/>
      <c r="G135" s="54"/>
      <c r="H135" s="54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6">
        <f t="array" ref="W135">IF(A135&lt;&gt;"",_xlfn.IFS(A135="Grade 1",SUM(L135:S135),A135="Grade 2",SUM(L135:V135),A135="Grade 3",SUM(L135:S135)),"")</f>
      </c>
      <c r="X135" s="57"/>
    </row>
    <row r="136" ht="19.95" customHeight="1" spans="1:24" x14ac:dyDescent="0.25">
      <c r="A136" s="50"/>
      <c r="B136" s="51"/>
      <c r="C136" s="51"/>
      <c r="D136" s="52"/>
      <c r="E136" s="53"/>
      <c r="F136" s="54"/>
      <c r="G136" s="54"/>
      <c r="H136" s="54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6">
        <f t="array" ref="W136">IF(A136&lt;&gt;"",_xlfn.IFS(A136="Grade 1",SUM(L136:S136),A136="Grade 2",SUM(L136:V136),A136="Grade 3",SUM(L136:S136)),"")</f>
      </c>
      <c r="X136" s="57"/>
    </row>
    <row r="137" ht="19.95" customHeight="1" spans="1:24" x14ac:dyDescent="0.25">
      <c r="A137" s="50"/>
      <c r="B137" s="51"/>
      <c r="C137" s="51"/>
      <c r="D137" s="52"/>
      <c r="E137" s="53"/>
      <c r="F137" s="54"/>
      <c r="G137" s="54"/>
      <c r="H137" s="54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6">
        <f t="array" ref="W137">IF(A137&lt;&gt;"",_xlfn.IFS(A137="Grade 1",SUM(L137:S137),A137="Grade 2",SUM(L137:V137),A137="Grade 3",SUM(L137:S137)),"")</f>
      </c>
      <c r="X137" s="57"/>
    </row>
    <row r="138" ht="19.95" customHeight="1" spans="1:24" x14ac:dyDescent="0.25">
      <c r="A138" s="50"/>
      <c r="B138" s="51"/>
      <c r="C138" s="51"/>
      <c r="D138" s="52"/>
      <c r="E138" s="53"/>
      <c r="F138" s="54"/>
      <c r="G138" s="54"/>
      <c r="H138" s="54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6">
        <f t="array" ref="W138">IF(A138&lt;&gt;"",_xlfn.IFS(A138="Grade 1",SUM(L138:S138),A138="Grade 2",SUM(L138:V138),A138="Grade 3",SUM(L138:S138)),"")</f>
      </c>
      <c r="X138" s="57"/>
    </row>
    <row r="139" ht="19.95" customHeight="1" spans="1:24" x14ac:dyDescent="0.25">
      <c r="A139" s="50"/>
      <c r="B139" s="51"/>
      <c r="C139" s="51"/>
      <c r="D139" s="52"/>
      <c r="E139" s="53"/>
      <c r="F139" s="54"/>
      <c r="G139" s="54"/>
      <c r="H139" s="54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6">
        <f t="array" ref="W139">IF(A139&lt;&gt;"",_xlfn.IFS(A139="Grade 1",SUM(L139:S139),A139="Grade 2",SUM(L139:V139),A139="Grade 3",SUM(L139:S139)),"")</f>
      </c>
      <c r="X139" s="57" t="str">
        <f t="shared" ref="X139:X202" si="2">IF(ISBLANK(A139)," ",IF(SUM(G139:K139)=E139,"Data Validated","Data with Error"))</f>
        <v> </v>
      </c>
    </row>
    <row r="140" ht="19.95" customHeight="1" spans="1:24" x14ac:dyDescent="0.25">
      <c r="A140" s="50"/>
      <c r="B140" s="51"/>
      <c r="C140" s="51"/>
      <c r="D140" s="52"/>
      <c r="E140" s="53"/>
      <c r="F140" s="54"/>
      <c r="G140" s="54"/>
      <c r="H140" s="54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6">
        <f t="array" ref="W140">IF(A140&lt;&gt;"",_xlfn.IFS(A140="Grade 1",SUM(L140:S140),A140="Grade 2",SUM(L140:V140),A140="Grade 3",SUM(L140:S140)),"")</f>
      </c>
      <c r="X140" s="57"/>
    </row>
    <row r="141" ht="19.95" customHeight="1" spans="1:24" x14ac:dyDescent="0.25">
      <c r="A141" s="50"/>
      <c r="B141" s="51"/>
      <c r="C141" s="51"/>
      <c r="D141" s="52"/>
      <c r="E141" s="53"/>
      <c r="F141" s="54"/>
      <c r="G141" s="54"/>
      <c r="H141" s="54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6">
        <f t="array" ref="W141">IF(A141&lt;&gt;"",_xlfn.IFS(A141="Grade 1",SUM(L141:S141),A141="Grade 2",SUM(L141:V141),A141="Grade 3",SUM(L141:S141)),"")</f>
      </c>
      <c r="X141" s="57"/>
    </row>
    <row r="142" ht="19.95" customHeight="1" spans="1:24" x14ac:dyDescent="0.25">
      <c r="A142" s="50"/>
      <c r="B142" s="51"/>
      <c r="C142" s="51"/>
      <c r="D142" s="52"/>
      <c r="E142" s="53"/>
      <c r="F142" s="54"/>
      <c r="G142" s="54"/>
      <c r="H142" s="54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6">
        <f t="array" ref="W142">IF(A142&lt;&gt;"",_xlfn.IFS(A142="Grade 1",SUM(L142:S142),A142="Grade 2",SUM(L142:V142),A142="Grade 3",SUM(L142:S142)),"")</f>
      </c>
      <c r="X142" s="57"/>
    </row>
    <row r="143" ht="19.95" customHeight="1" spans="1:24" x14ac:dyDescent="0.25">
      <c r="A143" s="50"/>
      <c r="B143" s="51"/>
      <c r="C143" s="51"/>
      <c r="D143" s="52"/>
      <c r="E143" s="53"/>
      <c r="F143" s="54"/>
      <c r="G143" s="54"/>
      <c r="H143" s="54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6">
        <f t="array" ref="W143">IF(A143&lt;&gt;"",_xlfn.IFS(A143="Grade 1",SUM(L143:S143),A143="Grade 2",SUM(L143:V143),A143="Grade 3",SUM(L143:S143)),"")</f>
      </c>
      <c r="X143" s="57"/>
    </row>
    <row r="144" ht="19.95" customHeight="1" spans="1:24" x14ac:dyDescent="0.25">
      <c r="A144" s="50"/>
      <c r="B144" s="51"/>
      <c r="C144" s="51"/>
      <c r="D144" s="52"/>
      <c r="E144" s="53"/>
      <c r="F144" s="54"/>
      <c r="G144" s="54"/>
      <c r="H144" s="54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6">
        <f t="array" ref="W144">IF(A144&lt;&gt;"",_xlfn.IFS(A144="Grade 1",SUM(L144:S144),A144="Grade 2",SUM(L144:V144),A144="Grade 3",SUM(L144:S144)),"")</f>
      </c>
      <c r="X144" s="57"/>
    </row>
    <row r="145" ht="19.95" customHeight="1" spans="1:24" x14ac:dyDescent="0.25">
      <c r="A145" s="50"/>
      <c r="B145" s="51"/>
      <c r="C145" s="51"/>
      <c r="D145" s="52"/>
      <c r="E145" s="53"/>
      <c r="F145" s="54"/>
      <c r="G145" s="54"/>
      <c r="H145" s="54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6">
        <f t="array" ref="W145">IF(A145&lt;&gt;"",_xlfn.IFS(A145="Grade 1",SUM(L145:S145),A145="Grade 2",SUM(L145:V145),A145="Grade 3",SUM(L145:S145)),"")</f>
      </c>
      <c r="X145" s="57"/>
    </row>
    <row r="146" ht="19.95" customHeight="1" spans="1:24" x14ac:dyDescent="0.25">
      <c r="A146" s="50"/>
      <c r="B146" s="51"/>
      <c r="C146" s="51"/>
      <c r="D146" s="52"/>
      <c r="E146" s="53"/>
      <c r="F146" s="54"/>
      <c r="G146" s="54"/>
      <c r="H146" s="54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6">
        <f t="array" ref="W146">IF(A146&lt;&gt;"",_xlfn.IFS(A146="Grade 1",SUM(L146:S146),A146="Grade 2",SUM(L146:V146),A146="Grade 3",SUM(L146:S146)),"")</f>
      </c>
      <c r="X146" s="57"/>
    </row>
    <row r="147" ht="19.95" customHeight="1" spans="1:24" x14ac:dyDescent="0.25">
      <c r="A147" s="50"/>
      <c r="B147" s="51"/>
      <c r="C147" s="51"/>
      <c r="D147" s="52"/>
      <c r="E147" s="53"/>
      <c r="F147" s="54"/>
      <c r="G147" s="54"/>
      <c r="H147" s="54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6">
        <f t="array" ref="W147">IF(A147&lt;&gt;"",_xlfn.IFS(A147="Grade 1",SUM(L147:S147),A147="Grade 2",SUM(L147:V147),A147="Grade 3",SUM(L147:S147)),"")</f>
      </c>
      <c r="X147" s="57"/>
    </row>
    <row r="148" ht="19.95" customHeight="1" spans="1:24" x14ac:dyDescent="0.25">
      <c r="A148" s="50"/>
      <c r="B148" s="51"/>
      <c r="C148" s="51"/>
      <c r="D148" s="52"/>
      <c r="E148" s="53"/>
      <c r="F148" s="54"/>
      <c r="G148" s="54"/>
      <c r="H148" s="54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6">
        <f t="array" ref="W148">IF(A148&lt;&gt;"",_xlfn.IFS(A148="Grade 1",SUM(L148:S148),A148="Grade 2",SUM(L148:V148),A148="Grade 3",SUM(L148:S148)),"")</f>
      </c>
      <c r="X148" s="57"/>
    </row>
    <row r="149" ht="19.95" customHeight="1" spans="1:24" x14ac:dyDescent="0.25">
      <c r="A149" s="50"/>
      <c r="B149" s="51"/>
      <c r="C149" s="51"/>
      <c r="D149" s="52"/>
      <c r="E149" s="53"/>
      <c r="F149" s="54"/>
      <c r="G149" s="54"/>
      <c r="H149" s="54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6">
        <f t="array" ref="W149">IF(A149&lt;&gt;"",_xlfn.IFS(A149="Grade 1",SUM(L149:S149),A149="Grade 2",SUM(L149:V149),A149="Grade 3",SUM(L149:S149)),"")</f>
      </c>
      <c r="X149" s="57"/>
    </row>
    <row r="150" ht="19.95" customHeight="1" spans="1:24" x14ac:dyDescent="0.25">
      <c r="A150" s="50"/>
      <c r="B150" s="51"/>
      <c r="C150" s="51"/>
      <c r="D150" s="52"/>
      <c r="E150" s="53"/>
      <c r="F150" s="54"/>
      <c r="G150" s="54"/>
      <c r="H150" s="54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6">
        <f t="array" ref="W150">IF(A150&lt;&gt;"",_xlfn.IFS(A150="Grade 1",SUM(L150:S150),A150="Grade 2",SUM(L150:V150),A150="Grade 3",SUM(L150:S150)),"")</f>
      </c>
      <c r="X150" s="57"/>
    </row>
    <row r="151" ht="19.95" customHeight="1" spans="1:24" x14ac:dyDescent="0.25">
      <c r="A151" s="50"/>
      <c r="B151" s="51"/>
      <c r="C151" s="51"/>
      <c r="D151" s="52"/>
      <c r="E151" s="53"/>
      <c r="F151" s="54"/>
      <c r="G151" s="54"/>
      <c r="H151" s="54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6">
        <f t="array" ref="W151">IF(A151&lt;&gt;"",_xlfn.IFS(A151="Grade 1",SUM(L151:S151),A151="Grade 2",SUM(L151:V151),A151="Grade 3",SUM(L151:S151)),"")</f>
      </c>
      <c r="X151" s="57"/>
    </row>
    <row r="152" ht="19.95" customHeight="1" spans="1:24" x14ac:dyDescent="0.25">
      <c r="A152" s="50"/>
      <c r="B152" s="51"/>
      <c r="C152" s="51"/>
      <c r="D152" s="52"/>
      <c r="E152" s="53"/>
      <c r="F152" s="54"/>
      <c r="G152" s="54"/>
      <c r="H152" s="54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6">
        <f t="array" ref="W152">IF(A152&lt;&gt;"",_xlfn.IFS(A152="Grade 1",SUM(L152:S152),A152="Grade 2",SUM(L152:V152),A152="Grade 3",SUM(L152:S152)),"")</f>
      </c>
      <c r="X152" s="57"/>
    </row>
    <row r="153" ht="19.95" customHeight="1" spans="1:24" x14ac:dyDescent="0.25">
      <c r="A153" s="50"/>
      <c r="B153" s="51"/>
      <c r="C153" s="51"/>
      <c r="D153" s="52"/>
      <c r="E153" s="53"/>
      <c r="F153" s="54"/>
      <c r="G153" s="54"/>
      <c r="H153" s="54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6">
        <f t="array" ref="W153">IF(A153&lt;&gt;"",_xlfn.IFS(A153="Grade 1",SUM(L153:S153),A153="Grade 2",SUM(L153:V153),A153="Grade 3",SUM(L153:S153)),"")</f>
      </c>
      <c r="X153" s="57"/>
    </row>
    <row r="154" ht="19.95" customHeight="1" spans="1:24" x14ac:dyDescent="0.25">
      <c r="A154" s="50"/>
      <c r="B154" s="51"/>
      <c r="C154" s="51"/>
      <c r="D154" s="52"/>
      <c r="E154" s="53"/>
      <c r="F154" s="54"/>
      <c r="G154" s="54"/>
      <c r="H154" s="54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6">
        <f t="array" ref="W154">IF(A154&lt;&gt;"",_xlfn.IFS(A154="Grade 1",SUM(L154:S154),A154="Grade 2",SUM(L154:V154),A154="Grade 3",SUM(L154:S154)),"")</f>
      </c>
      <c r="X154" s="57"/>
    </row>
    <row r="155" ht="19.95" customHeight="1" spans="1:24" x14ac:dyDescent="0.25">
      <c r="A155" s="50"/>
      <c r="B155" s="51"/>
      <c r="C155" s="51"/>
      <c r="D155" s="52"/>
      <c r="E155" s="53"/>
      <c r="F155" s="54"/>
      <c r="G155" s="54"/>
      <c r="H155" s="54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6">
        <f t="array" ref="W155">IF(A155&lt;&gt;"",_xlfn.IFS(A155="Grade 1",SUM(L155:S155),A155="Grade 2",SUM(L155:V155),A155="Grade 3",SUM(L155:S155)),"")</f>
      </c>
      <c r="X155" s="57"/>
    </row>
    <row r="156" ht="19.95" customHeight="1" spans="1:24" x14ac:dyDescent="0.25">
      <c r="A156" s="50"/>
      <c r="B156" s="51"/>
      <c r="C156" s="51"/>
      <c r="D156" s="52"/>
      <c r="E156" s="53"/>
      <c r="F156" s="54"/>
      <c r="G156" s="54"/>
      <c r="H156" s="54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6">
        <f t="array" ref="W156">IF(A156&lt;&gt;"",_xlfn.IFS(A156="Grade 1",SUM(L156:S156),A156="Grade 2",SUM(L156:V156),A156="Grade 3",SUM(L156:S156)),"")</f>
      </c>
      <c r="X156" s="57"/>
    </row>
    <row r="157" ht="19.95" customHeight="1" spans="1:24" x14ac:dyDescent="0.25">
      <c r="A157" s="50"/>
      <c r="B157" s="51"/>
      <c r="C157" s="51"/>
      <c r="D157" s="52"/>
      <c r="E157" s="53"/>
      <c r="F157" s="54"/>
      <c r="G157" s="54"/>
      <c r="H157" s="54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6">
        <f t="array" ref="W157">IF(A157&lt;&gt;"",_xlfn.IFS(A157="Grade 1",SUM(L157:S157),A157="Grade 2",SUM(L157:V157),A157="Grade 3",SUM(L157:S157)),"")</f>
      </c>
      <c r="X157" s="57"/>
    </row>
    <row r="158" ht="19.95" customHeight="1" spans="1:24" x14ac:dyDescent="0.25">
      <c r="A158" s="50"/>
      <c r="B158" s="51"/>
      <c r="C158" s="51"/>
      <c r="D158" s="52"/>
      <c r="E158" s="53"/>
      <c r="F158" s="54"/>
      <c r="G158" s="54"/>
      <c r="H158" s="54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6">
        <f t="array" ref="W158">IF(A158&lt;&gt;"",_xlfn.IFS(A158="Grade 1",SUM(L158:S158),A158="Grade 2",SUM(L158:V158),A158="Grade 3",SUM(L158:S158)),"")</f>
      </c>
      <c r="X158" s="57"/>
    </row>
    <row r="159" ht="19.95" customHeight="1" spans="1:24" x14ac:dyDescent="0.25">
      <c r="A159" s="50"/>
      <c r="B159" s="51"/>
      <c r="C159" s="51"/>
      <c r="D159" s="52"/>
      <c r="E159" s="53"/>
      <c r="F159" s="54"/>
      <c r="G159" s="54"/>
      <c r="H159" s="54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6">
        <f t="array" ref="W159">IF(A159&lt;&gt;"",_xlfn.IFS(A159="Grade 1",SUM(L159:S159),A159="Grade 2",SUM(L159:V159),A159="Grade 3",SUM(L159:S159)),"")</f>
      </c>
      <c r="X159" s="57"/>
    </row>
    <row r="160" ht="19.95" customHeight="1" spans="1:24" x14ac:dyDescent="0.25">
      <c r="A160" s="50"/>
      <c r="B160" s="51"/>
      <c r="C160" s="51"/>
      <c r="D160" s="52"/>
      <c r="E160" s="53"/>
      <c r="F160" s="54"/>
      <c r="G160" s="54"/>
      <c r="H160" s="54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6">
        <f t="array" ref="W160">IF(A160&lt;&gt;"",_xlfn.IFS(A160="Grade 1",SUM(L160:S160),A160="Grade 2",SUM(L160:V160),A160="Grade 3",SUM(L160:S160)),"")</f>
      </c>
      <c r="X160" s="57"/>
    </row>
    <row r="161" ht="19.95" customHeight="1" spans="1:24" x14ac:dyDescent="0.25">
      <c r="A161" s="50"/>
      <c r="B161" s="51"/>
      <c r="C161" s="51"/>
      <c r="D161" s="52"/>
      <c r="E161" s="53"/>
      <c r="F161" s="54"/>
      <c r="G161" s="54"/>
      <c r="H161" s="54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6">
        <f t="array" ref="W161">IF(A161&lt;&gt;"",_xlfn.IFS(A161="Grade 1",SUM(L161:S161),A161="Grade 2",SUM(L161:V161),A161="Grade 3",SUM(L161:S161)),"")</f>
      </c>
      <c r="X161" s="57"/>
    </row>
    <row r="162" ht="19.95" customHeight="1" spans="1:24" x14ac:dyDescent="0.25">
      <c r="A162" s="50"/>
      <c r="B162" s="51"/>
      <c r="C162" s="51"/>
      <c r="D162" s="52"/>
      <c r="E162" s="53"/>
      <c r="F162" s="54"/>
      <c r="G162" s="54"/>
      <c r="H162" s="54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6">
        <f t="array" ref="W162">IF(A162&lt;&gt;"",_xlfn.IFS(A162="Grade 1",SUM(L162:S162),A162="Grade 2",SUM(L162:V162),A162="Grade 3",SUM(L162:S162)),"")</f>
      </c>
      <c r="X162" s="57"/>
    </row>
    <row r="163" ht="19.95" customHeight="1" spans="1:24" x14ac:dyDescent="0.25">
      <c r="A163" s="50"/>
      <c r="B163" s="51"/>
      <c r="C163" s="51"/>
      <c r="D163" s="52"/>
      <c r="E163" s="53"/>
      <c r="F163" s="54"/>
      <c r="G163" s="54"/>
      <c r="H163" s="54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6">
        <f t="array" ref="W163">IF(A163&lt;&gt;"",_xlfn.IFS(A163="Grade 1",SUM(L163:S163),A163="Grade 2",SUM(L163:V163),A163="Grade 3",SUM(L163:S163)),"")</f>
      </c>
      <c r="X163" s="57"/>
    </row>
    <row r="164" ht="19.95" customHeight="1" spans="1:24" x14ac:dyDescent="0.25">
      <c r="A164" s="50"/>
      <c r="B164" s="51"/>
      <c r="C164" s="51"/>
      <c r="D164" s="52"/>
      <c r="E164" s="53"/>
      <c r="F164" s="54"/>
      <c r="G164" s="54"/>
      <c r="H164" s="54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6">
        <f t="array" ref="W164">IF(A164&lt;&gt;"",_xlfn.IFS(A164="Grade 1",SUM(L164:S164),A164="Grade 2",SUM(L164:V164),A164="Grade 3",SUM(L164:S164)),"")</f>
      </c>
      <c r="X164" s="57"/>
    </row>
    <row r="165" ht="19.95" customHeight="1" spans="1:24" x14ac:dyDescent="0.25">
      <c r="A165" s="50"/>
      <c r="B165" s="51"/>
      <c r="C165" s="51"/>
      <c r="D165" s="52"/>
      <c r="E165" s="53"/>
      <c r="F165" s="54"/>
      <c r="G165" s="54"/>
      <c r="H165" s="54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6">
        <f t="array" ref="W165">IF(A165&lt;&gt;"",_xlfn.IFS(A165="Grade 1",SUM(L165:S165),A165="Grade 2",SUM(L165:V165),A165="Grade 3",SUM(L165:S165)),"")</f>
      </c>
      <c r="X165" s="57"/>
    </row>
    <row r="166" ht="19.95" customHeight="1" spans="1:24" x14ac:dyDescent="0.25">
      <c r="A166" s="50"/>
      <c r="B166" s="51"/>
      <c r="C166" s="51"/>
      <c r="D166" s="52"/>
      <c r="E166" s="53"/>
      <c r="F166" s="54"/>
      <c r="G166" s="54"/>
      <c r="H166" s="54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6">
        <f t="array" ref="W166">IF(A166&lt;&gt;"",_xlfn.IFS(A166="Grade 1",SUM(L166:S166),A166="Grade 2",SUM(L166:V166),A166="Grade 3",SUM(L166:S166)),"")</f>
      </c>
      <c r="X166" s="57"/>
    </row>
    <row r="167" ht="19.95" customHeight="1" spans="1:24" x14ac:dyDescent="0.25">
      <c r="A167" s="50"/>
      <c r="B167" s="51"/>
      <c r="C167" s="51"/>
      <c r="D167" s="52"/>
      <c r="E167" s="53"/>
      <c r="F167" s="54"/>
      <c r="G167" s="54"/>
      <c r="H167" s="54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6">
        <f t="array" ref="W167">IF(A167&lt;&gt;"",_xlfn.IFS(A167="Grade 1",SUM(L167:S167),A167="Grade 2",SUM(L167:V167),A167="Grade 3",SUM(L167:S167)),"")</f>
      </c>
      <c r="X167" s="57"/>
    </row>
    <row r="168" ht="19.95" customHeight="1" spans="1:24" x14ac:dyDescent="0.25">
      <c r="A168" s="50"/>
      <c r="B168" s="51"/>
      <c r="C168" s="51"/>
      <c r="D168" s="52"/>
      <c r="E168" s="53"/>
      <c r="F168" s="54"/>
      <c r="G168" s="54"/>
      <c r="H168" s="54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6">
        <f t="array" ref="W168">IF(A168&lt;&gt;"",_xlfn.IFS(A168="Grade 1",SUM(L168:S168),A168="Grade 2",SUM(L168:V168),A168="Grade 3",SUM(L168:S168)),"")</f>
      </c>
      <c r="X168" s="57"/>
    </row>
    <row r="169" ht="19.95" customHeight="1" spans="1:24" x14ac:dyDescent="0.25">
      <c r="A169" s="50"/>
      <c r="B169" s="51"/>
      <c r="C169" s="51"/>
      <c r="D169" s="52"/>
      <c r="E169" s="53"/>
      <c r="F169" s="54"/>
      <c r="G169" s="54"/>
      <c r="H169" s="54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6">
        <f t="array" ref="W169">IF(A169&lt;&gt;"",_xlfn.IFS(A169="Grade 1",SUM(L169:S169),A169="Grade 2",SUM(L169:V169),A169="Grade 3",SUM(L169:S169)),"")</f>
      </c>
      <c r="X169" s="57"/>
    </row>
    <row r="170" ht="19.95" customHeight="1" spans="1:24" x14ac:dyDescent="0.25">
      <c r="A170" s="50"/>
      <c r="B170" s="51"/>
      <c r="C170" s="51"/>
      <c r="D170" s="52"/>
      <c r="E170" s="53"/>
      <c r="F170" s="54"/>
      <c r="G170" s="54"/>
      <c r="H170" s="54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6">
        <f t="array" ref="W170">IF(A170&lt;&gt;"",_xlfn.IFS(A170="Grade 1",SUM(L170:S170),A170="Grade 2",SUM(L170:V170),A170="Grade 3",SUM(L170:S170)),"")</f>
      </c>
      <c r="X170" s="57"/>
    </row>
    <row r="171" ht="19.95" customHeight="1" spans="1:24" x14ac:dyDescent="0.25">
      <c r="A171" s="50"/>
      <c r="B171" s="51"/>
      <c r="C171" s="51"/>
      <c r="D171" s="52"/>
      <c r="E171" s="53"/>
      <c r="F171" s="54"/>
      <c r="G171" s="54"/>
      <c r="H171" s="54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6">
        <f t="array" ref="W171">IF(A171&lt;&gt;"",_xlfn.IFS(A171="Grade 1",SUM(L171:S171),A171="Grade 2",SUM(L171:V171),A171="Grade 3",SUM(L171:S171)),"")</f>
      </c>
      <c r="X171" s="57"/>
    </row>
    <row r="172" ht="19.95" customHeight="1" spans="1:24" x14ac:dyDescent="0.25">
      <c r="A172" s="50"/>
      <c r="B172" s="51"/>
      <c r="C172" s="51"/>
      <c r="D172" s="52"/>
      <c r="E172" s="53"/>
      <c r="F172" s="54"/>
      <c r="G172" s="54"/>
      <c r="H172" s="54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6">
        <f t="array" ref="W172">IF(A172&lt;&gt;"",_xlfn.IFS(A172="Grade 1",SUM(L172:S172),A172="Grade 2",SUM(L172:V172),A172="Grade 3",SUM(L172:S172)),"")</f>
      </c>
      <c r="X172" s="57"/>
    </row>
    <row r="173" ht="19.95" customHeight="1" spans="1:24" x14ac:dyDescent="0.25">
      <c r="A173" s="50"/>
      <c r="B173" s="51"/>
      <c r="C173" s="51"/>
      <c r="D173" s="52"/>
      <c r="E173" s="53"/>
      <c r="F173" s="54"/>
      <c r="G173" s="54"/>
      <c r="H173" s="54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6">
        <f t="array" ref="W173">IF(A173&lt;&gt;"",_xlfn.IFS(A173="Grade 1",SUM(L173:S173),A173="Grade 2",SUM(L173:V173),A173="Grade 3",SUM(L173:S173)),"")</f>
      </c>
      <c r="X173" s="57"/>
    </row>
    <row r="174" ht="19.95" customHeight="1" spans="1:24" x14ac:dyDescent="0.25">
      <c r="A174" s="50"/>
      <c r="B174" s="51"/>
      <c r="C174" s="51"/>
      <c r="D174" s="52"/>
      <c r="E174" s="53"/>
      <c r="F174" s="54"/>
      <c r="G174" s="54"/>
      <c r="H174" s="54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6">
        <f t="array" ref="W174">IF(A174&lt;&gt;"",_xlfn.IFS(A174="Grade 1",SUM(L174:S174),A174="Grade 2",SUM(L174:V174),A174="Grade 3",SUM(L174:S174)),"")</f>
      </c>
      <c r="X174" s="57"/>
    </row>
    <row r="175" ht="19.95" customHeight="1" spans="1:24" x14ac:dyDescent="0.25">
      <c r="A175" s="50"/>
      <c r="B175" s="51"/>
      <c r="C175" s="51"/>
      <c r="D175" s="52"/>
      <c r="E175" s="53"/>
      <c r="F175" s="54"/>
      <c r="G175" s="54"/>
      <c r="H175" s="54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6">
        <f t="array" ref="W175">IF(A175&lt;&gt;"",_xlfn.IFS(A175="Grade 1",SUM(L175:S175),A175="Grade 2",SUM(L175:V175),A175="Grade 3",SUM(L175:S175)),"")</f>
      </c>
      <c r="X175" s="57"/>
    </row>
    <row r="176" ht="19.95" customHeight="1" spans="1:24" x14ac:dyDescent="0.25">
      <c r="A176" s="50"/>
      <c r="B176" s="51"/>
      <c r="C176" s="51"/>
      <c r="D176" s="52"/>
      <c r="E176" s="53"/>
      <c r="F176" s="54"/>
      <c r="G176" s="54"/>
      <c r="H176" s="54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6">
        <f t="array" ref="W176">IF(A176&lt;&gt;"",_xlfn.IFS(A176="Grade 1",SUM(L176:S176),A176="Grade 2",SUM(L176:V176),A176="Grade 3",SUM(L176:S176)),"")</f>
      </c>
      <c r="X176" s="57"/>
    </row>
    <row r="177" ht="19.95" customHeight="1" spans="1:24" x14ac:dyDescent="0.25">
      <c r="A177" s="50"/>
      <c r="B177" s="51"/>
      <c r="C177" s="51"/>
      <c r="D177" s="52"/>
      <c r="E177" s="53"/>
      <c r="F177" s="54"/>
      <c r="G177" s="54"/>
      <c r="H177" s="54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6">
        <f t="array" ref="W177">IF(A177&lt;&gt;"",_xlfn.IFS(A177="Grade 1",SUM(L177:S177),A177="Grade 2",SUM(L177:V177),A177="Grade 3",SUM(L177:S177)),"")</f>
      </c>
      <c r="X177" s="57"/>
    </row>
    <row r="178" ht="19.95" customHeight="1" spans="1:24" x14ac:dyDescent="0.25">
      <c r="A178" s="50"/>
      <c r="B178" s="51"/>
      <c r="C178" s="51"/>
      <c r="D178" s="52"/>
      <c r="E178" s="53"/>
      <c r="F178" s="54"/>
      <c r="G178" s="54"/>
      <c r="H178" s="54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6">
        <f t="array" ref="W178">IF(A178&lt;&gt;"",_xlfn.IFS(A178="Grade 1",SUM(L178:S178),A178="Grade 2",SUM(L178:V178),A178="Grade 3",SUM(L178:S178)),"")</f>
      </c>
      <c r="X178" s="57"/>
    </row>
    <row r="179" ht="19.95" customHeight="1" spans="1:24" x14ac:dyDescent="0.25">
      <c r="A179" s="50"/>
      <c r="B179" s="51"/>
      <c r="C179" s="51"/>
      <c r="D179" s="52"/>
      <c r="E179" s="53"/>
      <c r="F179" s="54"/>
      <c r="G179" s="54"/>
      <c r="H179" s="54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6">
        <f t="array" ref="W179">IF(A179&lt;&gt;"",_xlfn.IFS(A179="Grade 1",SUM(L179:S179),A179="Grade 2",SUM(L179:V179),A179="Grade 3",SUM(L179:S179)),"")</f>
      </c>
      <c r="X179" s="57"/>
    </row>
    <row r="180" ht="19.95" customHeight="1" spans="1:24" x14ac:dyDescent="0.25">
      <c r="A180" s="50"/>
      <c r="B180" s="51"/>
      <c r="C180" s="51"/>
      <c r="D180" s="52"/>
      <c r="E180" s="53"/>
      <c r="F180" s="54"/>
      <c r="G180" s="54"/>
      <c r="H180" s="54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6">
        <f t="array" ref="W180">IF(A180&lt;&gt;"",_xlfn.IFS(A180="Grade 1",SUM(L180:S180),A180="Grade 2",SUM(L180:V180),A180="Grade 3",SUM(L180:S180)),"")</f>
      </c>
      <c r="X180" s="57"/>
    </row>
    <row r="181" ht="19.95" customHeight="1" spans="1:24" x14ac:dyDescent="0.25">
      <c r="A181" s="50"/>
      <c r="B181" s="51"/>
      <c r="C181" s="51"/>
      <c r="D181" s="52"/>
      <c r="E181" s="53"/>
      <c r="F181" s="54"/>
      <c r="G181" s="54"/>
      <c r="H181" s="54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6">
        <f t="array" ref="W181">IF(A181&lt;&gt;"",_xlfn.IFS(A181="Grade 1",SUM(L181:S181),A181="Grade 2",SUM(L181:V181),A181="Grade 3",SUM(L181:S181)),"")</f>
      </c>
      <c r="X181" s="57"/>
    </row>
    <row r="182" ht="19.95" customHeight="1" spans="1:24" x14ac:dyDescent="0.25">
      <c r="A182" s="50"/>
      <c r="B182" s="51"/>
      <c r="C182" s="51"/>
      <c r="D182" s="52"/>
      <c r="E182" s="53"/>
      <c r="F182" s="54"/>
      <c r="G182" s="54"/>
      <c r="H182" s="54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6">
        <f t="array" ref="W182">IF(A182&lt;&gt;"",_xlfn.IFS(A182="Grade 1",SUM(L182:S182),A182="Grade 2",SUM(L182:V182),A182="Grade 3",SUM(L182:S182)),"")</f>
      </c>
      <c r="X182" s="57"/>
    </row>
    <row r="183" ht="19.95" customHeight="1" spans="1:24" x14ac:dyDescent="0.25">
      <c r="A183" s="50"/>
      <c r="B183" s="51"/>
      <c r="C183" s="51"/>
      <c r="D183" s="52"/>
      <c r="E183" s="53"/>
      <c r="F183" s="54"/>
      <c r="G183" s="54"/>
      <c r="H183" s="54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6">
        <f t="array" ref="W183">IF(A183&lt;&gt;"",_xlfn.IFS(A183="Grade 1",SUM(L183:S183),A183="Grade 2",SUM(L183:V183),A183="Grade 3",SUM(L183:S183)),"")</f>
      </c>
      <c r="X183" s="57"/>
    </row>
    <row r="184" ht="19.95" customHeight="1" spans="1:24" x14ac:dyDescent="0.25">
      <c r="A184" s="50"/>
      <c r="B184" s="51"/>
      <c r="C184" s="51"/>
      <c r="D184" s="52"/>
      <c r="E184" s="53"/>
      <c r="F184" s="54"/>
      <c r="G184" s="54"/>
      <c r="H184" s="54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6">
        <f t="array" ref="W184">IF(A184&lt;&gt;"",_xlfn.IFS(A184="Grade 1",SUM(L184:S184),A184="Grade 2",SUM(L184:V184),A184="Grade 3",SUM(L184:S184)),"")</f>
      </c>
      <c r="X184" s="57"/>
    </row>
    <row r="185" ht="19.95" customHeight="1" spans="1:24" x14ac:dyDescent="0.25">
      <c r="A185" s="50"/>
      <c r="B185" s="51"/>
      <c r="C185" s="51"/>
      <c r="D185" s="52"/>
      <c r="E185" s="53"/>
      <c r="F185" s="54"/>
      <c r="G185" s="54"/>
      <c r="H185" s="54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6">
        <f t="array" ref="W185">IF(A185&lt;&gt;"",_xlfn.IFS(A185="Grade 1",SUM(L185:S185),A185="Grade 2",SUM(L185:V185),A185="Grade 3",SUM(L185:S185)),"")</f>
      </c>
      <c r="X185" s="57"/>
    </row>
    <row r="186" ht="20.4" customHeight="1" spans="1:24" x14ac:dyDescent="0.25">
      <c r="A186" s="50"/>
      <c r="B186" s="51"/>
      <c r="C186" s="51"/>
      <c r="D186" s="52"/>
      <c r="E186" s="53"/>
      <c r="F186" s="54"/>
      <c r="G186" s="54"/>
      <c r="H186" s="54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6">
        <f t="array" ref="W186">IF(A186&lt;&gt;"",_xlfn.IFS(A186="Grade 1",SUM(L186:S186),A186="Grade 2",SUM(L186:V186),A186="Grade 3",SUM(L186:S186)),"")</f>
      </c>
      <c r="X186" s="57"/>
    </row>
    <row r="187" ht="19.95" customHeight="1" spans="1:24" x14ac:dyDescent="0.25">
      <c r="A187" s="50"/>
      <c r="B187" s="51"/>
      <c r="C187" s="51"/>
      <c r="D187" s="52"/>
      <c r="E187" s="53"/>
      <c r="F187" s="54"/>
      <c r="G187" s="54"/>
      <c r="H187" s="54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6">
        <f t="array" ref="W187">IF(A187&lt;&gt;"",_xlfn.IFS(A187="Grade 1",SUM(L187:S187),A187="Grade 2",SUM(L187:V187),A187="Grade 3",SUM(L187:S187)),"")</f>
      </c>
      <c r="X187" s="57"/>
    </row>
    <row r="188" ht="19.95" customHeight="1" spans="1:24" x14ac:dyDescent="0.25">
      <c r="A188" s="50"/>
      <c r="B188" s="51"/>
      <c r="C188" s="51"/>
      <c r="D188" s="52"/>
      <c r="E188" s="53"/>
      <c r="F188" s="54"/>
      <c r="G188" s="54"/>
      <c r="H188" s="54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6">
        <f t="array" ref="W188">IF(A188&lt;&gt;"",_xlfn.IFS(A188="Grade 1",SUM(L188:S188),A188="Grade 2",SUM(L188:V188),A188="Grade 3",SUM(L188:S188)),"")</f>
      </c>
      <c r="X188" s="57"/>
    </row>
    <row r="189" ht="19.95" customHeight="1" spans="1:24" x14ac:dyDescent="0.25">
      <c r="A189" s="50"/>
      <c r="B189" s="51"/>
      <c r="C189" s="51"/>
      <c r="D189" s="52"/>
      <c r="E189" s="53"/>
      <c r="F189" s="54"/>
      <c r="G189" s="54"/>
      <c r="H189" s="54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6">
        <f t="array" ref="W189">IF(A189&lt;&gt;"",_xlfn.IFS(A189="Grade 1",SUM(L189:S189),A189="Grade 2",SUM(L189:V189),A189="Grade 3",SUM(L189:S189)),"")</f>
      </c>
      <c r="X189" s="57"/>
    </row>
    <row r="190" ht="19.95" customHeight="1" spans="1:24" x14ac:dyDescent="0.25">
      <c r="A190" s="50"/>
      <c r="B190" s="51"/>
      <c r="C190" s="51"/>
      <c r="D190" s="52"/>
      <c r="E190" s="53"/>
      <c r="F190" s="54"/>
      <c r="G190" s="54"/>
      <c r="H190" s="54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6">
        <f t="array" ref="W190">IF(A190&lt;&gt;"",_xlfn.IFS(A190="Grade 1",SUM(L190:S190),A190="Grade 2",SUM(L190:V190),A190="Grade 3",SUM(L190:S190)),"")</f>
      </c>
      <c r="X190" s="57"/>
    </row>
    <row r="191" ht="19.95" customHeight="1" spans="1:24" x14ac:dyDescent="0.25">
      <c r="A191" s="50"/>
      <c r="B191" s="51"/>
      <c r="C191" s="51"/>
      <c r="D191" s="52"/>
      <c r="E191" s="53"/>
      <c r="F191" s="54"/>
      <c r="G191" s="54"/>
      <c r="H191" s="54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6">
        <f t="array" ref="W191">IF(A191&lt;&gt;"",_xlfn.IFS(A191="Grade 1",SUM(L191:S191),A191="Grade 2",SUM(L191:V191),A191="Grade 3",SUM(L191:S191)),"")</f>
      </c>
      <c r="X191" s="57"/>
    </row>
    <row r="192" ht="19.95" customHeight="1" spans="1:24" x14ac:dyDescent="0.25">
      <c r="A192" s="50"/>
      <c r="B192" s="51"/>
      <c r="C192" s="51"/>
      <c r="D192" s="52"/>
      <c r="E192" s="53"/>
      <c r="F192" s="54"/>
      <c r="G192" s="54"/>
      <c r="H192" s="54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6">
        <f t="array" ref="W192">IF(A192&lt;&gt;"",_xlfn.IFS(A192="Grade 1",SUM(L192:S192),A192="Grade 2",SUM(L192:V192),A192="Grade 3",SUM(L192:S192)),"")</f>
      </c>
      <c r="X192" s="57"/>
    </row>
    <row r="193" ht="19.95" customHeight="1" spans="1:24" x14ac:dyDescent="0.25">
      <c r="A193" s="50"/>
      <c r="B193" s="51"/>
      <c r="C193" s="51"/>
      <c r="D193" s="52"/>
      <c r="E193" s="53"/>
      <c r="F193" s="54"/>
      <c r="G193" s="54"/>
      <c r="H193" s="54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6">
        <f t="array" ref="W193">IF(A193&lt;&gt;"",_xlfn.IFS(A193="Grade 1",SUM(L193:S193),A193="Grade 2",SUM(L193:V193),A193="Grade 3",SUM(L193:S193)),"")</f>
      </c>
      <c r="X193" s="57"/>
    </row>
    <row r="194" ht="19.95" customHeight="1" spans="1:24" x14ac:dyDescent="0.25">
      <c r="A194" s="50"/>
      <c r="B194" s="51"/>
      <c r="C194" s="51"/>
      <c r="D194" s="52"/>
      <c r="E194" s="53"/>
      <c r="F194" s="54"/>
      <c r="G194" s="54"/>
      <c r="H194" s="54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6">
        <f t="array" ref="W194">IF(A194&lt;&gt;"",_xlfn.IFS(A194="Grade 1",SUM(L194:S194),A194="Grade 2",SUM(L194:V194),A194="Grade 3",SUM(L194:S194)),"")</f>
      </c>
      <c r="X194" s="57"/>
    </row>
    <row r="195" ht="19.95" customHeight="1" spans="1:24" x14ac:dyDescent="0.25">
      <c r="A195" s="50"/>
      <c r="B195" s="51"/>
      <c r="C195" s="51"/>
      <c r="D195" s="52"/>
      <c r="E195" s="53"/>
      <c r="F195" s="54"/>
      <c r="G195" s="54"/>
      <c r="H195" s="54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6">
        <f t="array" ref="W195">IF(A195&lt;&gt;"",_xlfn.IFS(A195="Grade 1",SUM(L195:S195),A195="Grade 2",SUM(L195:V195),A195="Grade 3",SUM(L195:S195)),"")</f>
      </c>
      <c r="X195" s="57"/>
    </row>
    <row r="196" ht="19.95" customHeight="1" spans="1:24" x14ac:dyDescent="0.25">
      <c r="A196" s="50"/>
      <c r="B196" s="51"/>
      <c r="C196" s="51"/>
      <c r="D196" s="52"/>
      <c r="E196" s="53"/>
      <c r="F196" s="54"/>
      <c r="G196" s="54"/>
      <c r="H196" s="54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6">
        <f t="array" ref="W196">IF(A196&lt;&gt;"",_xlfn.IFS(A196="Grade 1",SUM(L196:S196),A196="Grade 2",SUM(L196:V196),A196="Grade 3",SUM(L196:S196)),"")</f>
      </c>
      <c r="X196" s="57"/>
    </row>
    <row r="197" ht="19.95" customHeight="1" spans="1:24" x14ac:dyDescent="0.25">
      <c r="A197" s="50"/>
      <c r="B197" s="51"/>
      <c r="C197" s="51"/>
      <c r="D197" s="52"/>
      <c r="E197" s="53"/>
      <c r="F197" s="54"/>
      <c r="G197" s="54"/>
      <c r="H197" s="54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6">
        <f t="array" ref="W197">IF(A197&lt;&gt;"",_xlfn.IFS(A197="Grade 1",SUM(L197:S197),A197="Grade 2",SUM(L197:V197),A197="Grade 3",SUM(L197:S197)),"")</f>
      </c>
      <c r="X197" s="57"/>
    </row>
    <row r="198" ht="19.95" customHeight="1" spans="1:24" x14ac:dyDescent="0.25">
      <c r="A198" s="50"/>
      <c r="B198" s="51"/>
      <c r="C198" s="51"/>
      <c r="D198" s="52"/>
      <c r="E198" s="53"/>
      <c r="F198" s="54"/>
      <c r="G198" s="54"/>
      <c r="H198" s="54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6">
        <f t="array" ref="W198">IF(A198&lt;&gt;"",_xlfn.IFS(A198="Grade 1",SUM(L198:S198),A198="Grade 2",SUM(L198:V198),A198="Grade 3",SUM(L198:S198)),"")</f>
      </c>
      <c r="X198" s="57"/>
    </row>
    <row r="199" ht="19.95" customHeight="1" spans="1:24" x14ac:dyDescent="0.25">
      <c r="A199" s="50"/>
      <c r="B199" s="51"/>
      <c r="C199" s="51"/>
      <c r="D199" s="52"/>
      <c r="E199" s="53"/>
      <c r="F199" s="54"/>
      <c r="G199" s="54"/>
      <c r="H199" s="54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6">
        <f t="array" ref="W199">IF(A199&lt;&gt;"",_xlfn.IFS(A199="Grade 1",SUM(L199:S199),A199="Grade 2",SUM(L199:V199),A199="Grade 3",SUM(L199:S199)),"")</f>
      </c>
      <c r="X199" s="57"/>
    </row>
    <row r="200" ht="19.95" customHeight="1" spans="1:24" x14ac:dyDescent="0.25">
      <c r="A200" s="50"/>
      <c r="B200" s="51"/>
      <c r="C200" s="51"/>
      <c r="D200" s="52"/>
      <c r="E200" s="53"/>
      <c r="F200" s="54"/>
      <c r="G200" s="54"/>
      <c r="H200" s="54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6">
        <f t="array" ref="W200">IF(A200&lt;&gt;"",_xlfn.IFS(A200="Grade 1",SUM(L200:S200),A200="Grade 2",SUM(L200:V200),A200="Grade 3",SUM(L200:S200)),"")</f>
      </c>
      <c r="X200" s="57"/>
    </row>
    <row r="201" ht="19.95" customHeight="1" spans="1:24" x14ac:dyDescent="0.25">
      <c r="A201" s="50"/>
      <c r="B201" s="51"/>
      <c r="C201" s="51"/>
      <c r="D201" s="52"/>
      <c r="E201" s="53"/>
      <c r="F201" s="54"/>
      <c r="G201" s="54"/>
      <c r="H201" s="54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6">
        <f t="array" ref="W201">IF(A201&lt;&gt;"",_xlfn.IFS(A201="Grade 1",SUM(L201:T201),A201="Grade 2",SUM(L201:V201),A201="Grade 3",SUM(L201:T201)),"")</f>
      </c>
      <c r="X201" s="57"/>
    </row>
    <row r="202" ht="19.95" customHeight="1" spans="1:24" x14ac:dyDescent="0.25">
      <c r="A202" s="50"/>
      <c r="B202" s="51"/>
      <c r="C202" s="51"/>
      <c r="D202" s="52"/>
      <c r="E202" s="53"/>
      <c r="F202" s="54"/>
      <c r="G202" s="54"/>
      <c r="H202" s="54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6">
        <f t="array" ref="W202">IF(A202&lt;&gt;"",_xlfn.IFS(A202="Grade 1",SUM(L202:T202),A202="Grade 2",SUM(L202:V202),A202="Grade 3",SUM(L202:T202)),"")</f>
      </c>
      <c r="X202" s="57"/>
    </row>
    <row r="203" ht="19.95" customHeight="1" spans="1:24" x14ac:dyDescent="0.25">
      <c r="A203" s="50"/>
      <c r="B203" s="51"/>
      <c r="C203" s="51"/>
      <c r="D203" s="52"/>
      <c r="E203" s="53"/>
      <c r="F203" s="54"/>
      <c r="G203" s="54"/>
      <c r="H203" s="54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6">
        <f t="array" ref="W203">IF(A203&lt;&gt;"",_xlfn.IFS(A203="Grade 1",SUM(L203:T203),A203="Grade 2",SUM(L203:V203),A203="Grade 3",SUM(L203:T203)),"")</f>
      </c>
      <c r="X203" s="57" t="str">
        <f t="shared" ref="X203:X250" si="3">IF(ISBLANK(A203)," ",IF(SUM(G203:K203)=E203,"Data Validated","Data with Error"))</f>
        <v> </v>
      </c>
    </row>
    <row r="204" ht="19.95" customHeight="1" spans="1:24" x14ac:dyDescent="0.25">
      <c r="A204" s="50"/>
      <c r="B204" s="51"/>
      <c r="C204" s="51"/>
      <c r="D204" s="52"/>
      <c r="E204" s="53"/>
      <c r="F204" s="54"/>
      <c r="G204" s="54"/>
      <c r="H204" s="54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6">
        <f t="array" ref="W204">IF(A204&lt;&gt;"",_xlfn.IFS(A204="Grade 1",SUM(L204:T204),A204="Grade 2",SUM(L204:V204),A204="Grade 3",SUM(L204:T204)),"")</f>
      </c>
      <c r="X204" s="57"/>
    </row>
    <row r="205" ht="19.95" customHeight="1" spans="1:24" x14ac:dyDescent="0.25">
      <c r="A205" s="50"/>
      <c r="B205" s="51"/>
      <c r="C205" s="51"/>
      <c r="D205" s="52"/>
      <c r="E205" s="53"/>
      <c r="F205" s="54"/>
      <c r="G205" s="54"/>
      <c r="H205" s="54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6">
        <f t="array" ref="W205">IF(A205&lt;&gt;"",_xlfn.IFS(A205="Grade 1",SUM(L205:T205),A205="Grade 2",SUM(L205:V205),A205="Grade 3",SUM(L205:T205)),"")</f>
      </c>
      <c r="X205" s="57"/>
    </row>
    <row r="206" ht="19.95" customHeight="1" spans="1:24" x14ac:dyDescent="0.25">
      <c r="A206" s="50"/>
      <c r="B206" s="51"/>
      <c r="C206" s="51"/>
      <c r="D206" s="52"/>
      <c r="E206" s="53"/>
      <c r="F206" s="54"/>
      <c r="G206" s="54"/>
      <c r="H206" s="54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6">
        <f t="array" ref="W206">IF(A206&lt;&gt;"",_xlfn.IFS(A206="Grade 1",SUM(L206:T206),A206="Grade 2",SUM(L206:V206),A206="Grade 3",SUM(L206:T206)),"")</f>
      </c>
      <c r="X206" s="57"/>
    </row>
    <row r="207" ht="19.95" customHeight="1" spans="1:24" x14ac:dyDescent="0.25">
      <c r="A207" s="50"/>
      <c r="B207" s="51"/>
      <c r="C207" s="51"/>
      <c r="D207" s="52"/>
      <c r="E207" s="53"/>
      <c r="F207" s="54"/>
      <c r="G207" s="54"/>
      <c r="H207" s="54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6">
        <f t="array" ref="W207">IF(A207&lt;&gt;"",_xlfn.IFS(A207="Grade 1",SUM(L207:T207),A207="Grade 2",SUM(L207:V207),A207="Grade 3",SUM(L207:T207)),"")</f>
      </c>
      <c r="X207" s="57"/>
    </row>
    <row r="208" ht="19.95" customHeight="1" spans="1:24" x14ac:dyDescent="0.25">
      <c r="A208" s="50"/>
      <c r="B208" s="51"/>
      <c r="C208" s="51"/>
      <c r="D208" s="52"/>
      <c r="E208" s="53"/>
      <c r="F208" s="54"/>
      <c r="G208" s="54"/>
      <c r="H208" s="54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6">
        <f t="array" ref="W208">IF(A208&lt;&gt;"",_xlfn.IFS(A208="Grade 1",SUM(L208:T208),A208="Grade 2",SUM(L208:V208),A208="Grade 3",SUM(L208:T208)),"")</f>
      </c>
      <c r="X208" s="57"/>
    </row>
    <row r="209" ht="19.95" customHeight="1" spans="1:24" x14ac:dyDescent="0.25">
      <c r="A209" s="50"/>
      <c r="B209" s="51"/>
      <c r="C209" s="51"/>
      <c r="D209" s="52"/>
      <c r="E209" s="53"/>
      <c r="F209" s="54"/>
      <c r="G209" s="54"/>
      <c r="H209" s="54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6">
        <f t="array" ref="W209">IF(A209&lt;&gt;"",_xlfn.IFS(A209="Grade 1",SUM(L209:T209),A209="Grade 2",SUM(L209:V209),A209="Grade 3",SUM(L209:T209)),"")</f>
      </c>
      <c r="X209" s="57"/>
    </row>
    <row r="210" ht="19.95" customHeight="1" spans="1:24" x14ac:dyDescent="0.25">
      <c r="A210" s="50"/>
      <c r="B210" s="51"/>
      <c r="C210" s="51"/>
      <c r="D210" s="52"/>
      <c r="E210" s="53"/>
      <c r="F210" s="54"/>
      <c r="G210" s="54"/>
      <c r="H210" s="54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6">
        <f t="array" ref="W210">IF(A210&lt;&gt;"",_xlfn.IFS(A210="Grade 1",SUM(L210:T210),A210="Grade 2",SUM(L210:V210),A210="Grade 3",SUM(L210:T210)),"")</f>
      </c>
      <c r="X210" s="57"/>
    </row>
    <row r="211" ht="19.95" customHeight="1" spans="1:24" x14ac:dyDescent="0.25">
      <c r="A211" s="50"/>
      <c r="B211" s="51"/>
      <c r="C211" s="51"/>
      <c r="D211" s="52"/>
      <c r="E211" s="53"/>
      <c r="F211" s="54"/>
      <c r="G211" s="54"/>
      <c r="H211" s="54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6">
        <f t="array" ref="W211">IF(A211&lt;&gt;"",_xlfn.IFS(A211="Grade 1",SUM(L211:T211),A211="Grade 2",SUM(L211:V211),A211="Grade 3",SUM(L211:T211)),"")</f>
      </c>
      <c r="X211" s="57"/>
    </row>
    <row r="212" ht="19.95" customHeight="1" spans="1:24" x14ac:dyDescent="0.25">
      <c r="A212" s="50"/>
      <c r="B212" s="51"/>
      <c r="C212" s="51"/>
      <c r="D212" s="52"/>
      <c r="E212" s="53"/>
      <c r="F212" s="54"/>
      <c r="G212" s="54"/>
      <c r="H212" s="54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6">
        <f t="array" ref="W212">IF(A212&lt;&gt;"",_xlfn.IFS(A212="Grade 1",SUM(L212:T212),A212="Grade 2",SUM(L212:V212),A212="Grade 3",SUM(L212:T212)),"")</f>
      </c>
      <c r="X212" s="57"/>
    </row>
    <row r="213" ht="19.95" customHeight="1" spans="1:24" x14ac:dyDescent="0.25">
      <c r="A213" s="50"/>
      <c r="B213" s="51"/>
      <c r="C213" s="51"/>
      <c r="D213" s="52"/>
      <c r="E213" s="53"/>
      <c r="F213" s="54"/>
      <c r="G213" s="54"/>
      <c r="H213" s="54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6">
        <f t="array" ref="W213">IF(A213&lt;&gt;"",_xlfn.IFS(A213="Grade 1",SUM(L213:T213),A213="Grade 2",SUM(L213:V213),A213="Grade 3",SUM(L213:T213)),"")</f>
      </c>
      <c r="X213" s="57"/>
    </row>
    <row r="214" ht="19.95" customHeight="1" spans="1:24" x14ac:dyDescent="0.25">
      <c r="A214" s="50"/>
      <c r="B214" s="51"/>
      <c r="C214" s="51"/>
      <c r="D214" s="52"/>
      <c r="E214" s="53"/>
      <c r="F214" s="54"/>
      <c r="G214" s="54"/>
      <c r="H214" s="54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6">
        <f t="array" ref="W214">IF(A214&lt;&gt;"",_xlfn.IFS(A214="Grade 1",SUM(L214:T214),A214="Grade 2",SUM(L214:V214),A214="Grade 3",SUM(L214:T214)),"")</f>
      </c>
      <c r="X214" s="57"/>
    </row>
    <row r="215" ht="19.95" customHeight="1" spans="1:24" x14ac:dyDescent="0.25">
      <c r="A215" s="50"/>
      <c r="B215" s="51"/>
      <c r="C215" s="51"/>
      <c r="D215" s="52"/>
      <c r="E215" s="53"/>
      <c r="F215" s="54"/>
      <c r="G215" s="54"/>
      <c r="H215" s="54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6">
        <f t="array" ref="W215">IF(A215&lt;&gt;"",_xlfn.IFS(A215="Grade 1",SUM(L215:T215),A215="Grade 2",SUM(L215:V215),A215="Grade 3",SUM(L215:T215)),"")</f>
      </c>
      <c r="X215" s="57"/>
    </row>
    <row r="216" ht="19.95" customHeight="1" spans="1:24" x14ac:dyDescent="0.25">
      <c r="A216" s="50"/>
      <c r="B216" s="51"/>
      <c r="C216" s="51"/>
      <c r="D216" s="52"/>
      <c r="E216" s="53"/>
      <c r="F216" s="54"/>
      <c r="G216" s="54"/>
      <c r="H216" s="54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6">
        <f t="array" ref="W216">IF(A216&lt;&gt;"",_xlfn.IFS(A216="Grade 1",SUM(L216:T216),A216="Grade 2",SUM(L216:V216),A216="Grade 3",SUM(L216:T216)),"")</f>
      </c>
      <c r="X216" s="57"/>
    </row>
    <row r="217" ht="19.95" customHeight="1" spans="1:24" x14ac:dyDescent="0.25">
      <c r="A217" s="50"/>
      <c r="B217" s="51"/>
      <c r="C217" s="51"/>
      <c r="D217" s="52"/>
      <c r="E217" s="53"/>
      <c r="F217" s="54"/>
      <c r="G217" s="54"/>
      <c r="H217" s="54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6">
        <f t="array" ref="W217">IF(A217&lt;&gt;"",_xlfn.IFS(A217="Grade 1",SUM(L217:T217),A217="Grade 2",SUM(L217:V217),A217="Grade 3",SUM(L217:T217)),"")</f>
      </c>
      <c r="X217" s="57"/>
    </row>
    <row r="218" ht="19.95" customHeight="1" spans="1:24" x14ac:dyDescent="0.25">
      <c r="A218" s="50"/>
      <c r="B218" s="51"/>
      <c r="C218" s="51"/>
      <c r="D218" s="52"/>
      <c r="E218" s="53"/>
      <c r="F218" s="54"/>
      <c r="G218" s="54"/>
      <c r="H218" s="54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6">
        <f t="array" ref="W218">IF(A218&lt;&gt;"",_xlfn.IFS(A218="Grade 1",SUM(L218:T218),A218="Grade 2",SUM(L218:V218),A218="Grade 3",SUM(L218:T218)),"")</f>
      </c>
      <c r="X218" s="57"/>
    </row>
    <row r="219" ht="19.95" customHeight="1" spans="1:24" x14ac:dyDescent="0.25">
      <c r="A219" s="50"/>
      <c r="B219" s="51"/>
      <c r="C219" s="51"/>
      <c r="D219" s="52"/>
      <c r="E219" s="53"/>
      <c r="F219" s="54"/>
      <c r="G219" s="54"/>
      <c r="H219" s="54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6">
        <f t="array" ref="W219">IF(A219&lt;&gt;"",_xlfn.IFS(A219="Grade 1",SUM(L219:T219),A219="Grade 2",SUM(L219:V219),A219="Grade 3",SUM(L219:T219)),"")</f>
      </c>
      <c r="X219" s="57"/>
    </row>
    <row r="220" ht="19.95" customHeight="1" spans="1:24" x14ac:dyDescent="0.25">
      <c r="A220" s="50"/>
      <c r="B220" s="51"/>
      <c r="C220" s="51"/>
      <c r="D220" s="52"/>
      <c r="E220" s="53"/>
      <c r="F220" s="54"/>
      <c r="G220" s="54"/>
      <c r="H220" s="54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6">
        <f t="array" ref="W220">IF(A220&lt;&gt;"",_xlfn.IFS(A220="Grade 1",SUM(L220:T220),A220="Grade 2",SUM(L220:V220),A220="Grade 3",SUM(L220:T220)),"")</f>
      </c>
      <c r="X220" s="57"/>
    </row>
    <row r="221" ht="19.95" customHeight="1" spans="1:24" x14ac:dyDescent="0.25">
      <c r="A221" s="50"/>
      <c r="B221" s="51"/>
      <c r="C221" s="51"/>
      <c r="D221" s="52"/>
      <c r="E221" s="53"/>
      <c r="F221" s="54"/>
      <c r="G221" s="54"/>
      <c r="H221" s="54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6">
        <f t="array" ref="W221">IF(A221&lt;&gt;"",_xlfn.IFS(A221="Grade 1",SUM(L221:T221),A221="Grade 2",SUM(L221:V221),A221="Grade 3",SUM(L221:T221)),"")</f>
      </c>
      <c r="X221" s="57"/>
    </row>
    <row r="222" ht="19.95" customHeight="1" spans="1:24" x14ac:dyDescent="0.25">
      <c r="A222" s="50"/>
      <c r="B222" s="51"/>
      <c r="C222" s="51"/>
      <c r="D222" s="52"/>
      <c r="E222" s="53"/>
      <c r="F222" s="54"/>
      <c r="G222" s="54"/>
      <c r="H222" s="54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6">
        <f t="array" ref="W222">IF(A222&lt;&gt;"",_xlfn.IFS(A222="Grade 1",SUM(L222:T222),A222="Grade 2",SUM(L222:V222),A222="Grade 3",SUM(L222:T222)),"")</f>
      </c>
      <c r="X222" s="57"/>
    </row>
    <row r="223" ht="19.95" customHeight="1" spans="1:24" x14ac:dyDescent="0.25">
      <c r="A223" s="50"/>
      <c r="B223" s="51"/>
      <c r="C223" s="51"/>
      <c r="D223" s="52"/>
      <c r="E223" s="53"/>
      <c r="F223" s="54"/>
      <c r="G223" s="54"/>
      <c r="H223" s="54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6">
        <f t="array" ref="W223">IF(A223&lt;&gt;"",_xlfn.IFS(A223="Grade 1",SUM(L223:T223),A223="Grade 2",SUM(L223:V223),A223="Grade 3",SUM(L223:T223)),"")</f>
      </c>
      <c r="X223" s="57"/>
    </row>
    <row r="224" ht="19.95" customHeight="1" spans="1:24" x14ac:dyDescent="0.25">
      <c r="A224" s="50"/>
      <c r="B224" s="51"/>
      <c r="C224" s="51"/>
      <c r="D224" s="52"/>
      <c r="E224" s="53"/>
      <c r="F224" s="54"/>
      <c r="G224" s="54"/>
      <c r="H224" s="54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6">
        <f t="array" ref="W224">IF(A224&lt;&gt;"",_xlfn.IFS(A224="Grade 1",SUM(L224:T224),A224="Grade 2",SUM(L224:V224),A224="Grade 3",SUM(L224:T224)),"")</f>
      </c>
      <c r="X224" s="57"/>
    </row>
    <row r="225" ht="19.95" customHeight="1" spans="1:24" x14ac:dyDescent="0.25">
      <c r="A225" s="50"/>
      <c r="B225" s="51"/>
      <c r="C225" s="51"/>
      <c r="D225" s="52"/>
      <c r="E225" s="53"/>
      <c r="F225" s="54"/>
      <c r="G225" s="54"/>
      <c r="H225" s="54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6">
        <f t="array" ref="W225">IF(A225&lt;&gt;"",_xlfn.IFS(A225="Grade 1",SUM(L225:T225),A225="Grade 2",SUM(L225:V225),A225="Grade 3",SUM(L225:T225)),"")</f>
      </c>
      <c r="X225" s="57"/>
    </row>
    <row r="226" ht="19.95" customHeight="1" spans="1:24" x14ac:dyDescent="0.25">
      <c r="A226" s="50"/>
      <c r="B226" s="51"/>
      <c r="C226" s="51"/>
      <c r="D226" s="52"/>
      <c r="E226" s="53"/>
      <c r="F226" s="54"/>
      <c r="G226" s="54"/>
      <c r="H226" s="54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6">
        <f t="array" ref="W226">IF(A226&lt;&gt;"",_xlfn.IFS(A226="Grade 1",SUM(L226:T226),A226="Grade 2",SUM(L226:V226),A226="Grade 3",SUM(L226:T226)),"")</f>
      </c>
      <c r="X226" s="57"/>
    </row>
    <row r="227" ht="19.95" customHeight="1" spans="1:24" x14ac:dyDescent="0.25">
      <c r="A227" s="50"/>
      <c r="B227" s="51"/>
      <c r="C227" s="51"/>
      <c r="D227" s="52"/>
      <c r="E227" s="53"/>
      <c r="F227" s="54"/>
      <c r="G227" s="54"/>
      <c r="H227" s="54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6">
        <f t="array" ref="W227">IF(A227&lt;&gt;"",_xlfn.IFS(A227="Grade 1",SUM(L227:T227),A227="Grade 2",SUM(L227:V227),A227="Grade 3",SUM(L227:T227)),"")</f>
      </c>
      <c r="X227" s="57"/>
    </row>
    <row r="228" ht="19.95" customHeight="1" spans="1:24" x14ac:dyDescent="0.25">
      <c r="A228" s="50"/>
      <c r="B228" s="51"/>
      <c r="C228" s="51"/>
      <c r="D228" s="52"/>
      <c r="E228" s="53"/>
      <c r="F228" s="54"/>
      <c r="G228" s="54"/>
      <c r="H228" s="54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6">
        <f t="array" ref="W228">IF(A228&lt;&gt;"",_xlfn.IFS(A228="Grade 1",SUM(L228:T228),A228="Grade 2",SUM(L228:V228),A228="Grade 3",SUM(L228:T228)),"")</f>
      </c>
      <c r="X228" s="57"/>
    </row>
    <row r="229" ht="19.95" customHeight="1" spans="1:24" x14ac:dyDescent="0.25">
      <c r="A229" s="50"/>
      <c r="B229" s="51"/>
      <c r="C229" s="51"/>
      <c r="D229" s="52"/>
      <c r="E229" s="53"/>
      <c r="F229" s="54"/>
      <c r="G229" s="54"/>
      <c r="H229" s="54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6">
        <f t="array" ref="W229">IF(A229&lt;&gt;"",_xlfn.IFS(A229="Grade 1",SUM(L229:T229),A229="Grade 2",SUM(L229:V229),A229="Grade 3",SUM(L229:T229)),"")</f>
      </c>
      <c r="X229" s="57"/>
    </row>
    <row r="230" ht="19.95" customHeight="1" spans="1:24" x14ac:dyDescent="0.25">
      <c r="A230" s="50"/>
      <c r="B230" s="51"/>
      <c r="C230" s="51"/>
      <c r="D230" s="52"/>
      <c r="E230" s="53"/>
      <c r="F230" s="54"/>
      <c r="G230" s="54"/>
      <c r="H230" s="54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6">
        <f t="array" ref="W230">IF(A230&lt;&gt;"",_xlfn.IFS(A230="Grade 1",SUM(L230:T230),A230="Grade 2",SUM(L230:V230),A230="Grade 3",SUM(L230:T230)),"")</f>
      </c>
      <c r="X230" s="57"/>
    </row>
    <row r="231" ht="19.95" customHeight="1" spans="1:24" x14ac:dyDescent="0.25">
      <c r="A231" s="50"/>
      <c r="B231" s="51"/>
      <c r="C231" s="51"/>
      <c r="D231" s="52"/>
      <c r="E231" s="53"/>
      <c r="F231" s="54"/>
      <c r="G231" s="54"/>
      <c r="H231" s="54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6">
        <f t="array" ref="W231">IF(A231&lt;&gt;"",_xlfn.IFS(A231="Grade 1",SUM(L231:T231),A231="Grade 2",SUM(L231:V231),A231="Grade 3",SUM(L231:T231)),"")</f>
      </c>
      <c r="X231" s="57"/>
    </row>
    <row r="232" ht="19.95" customHeight="1" spans="1:24" x14ac:dyDescent="0.25">
      <c r="A232" s="50"/>
      <c r="B232" s="51"/>
      <c r="C232" s="51"/>
      <c r="D232" s="52"/>
      <c r="E232" s="53"/>
      <c r="F232" s="54"/>
      <c r="G232" s="54"/>
      <c r="H232" s="54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6">
        <f t="array" ref="W232">IF(A232&lt;&gt;"",_xlfn.IFS(A232="Grade 1",SUM(L232:T232),A232="Grade 2",SUM(L232:V232),A232="Grade 3",SUM(L232:T232)),"")</f>
      </c>
      <c r="X232" s="57"/>
    </row>
    <row r="233" ht="19.95" customHeight="1" spans="1:24" x14ac:dyDescent="0.25">
      <c r="A233" s="50"/>
      <c r="B233" s="51"/>
      <c r="C233" s="51"/>
      <c r="D233" s="52"/>
      <c r="E233" s="53"/>
      <c r="F233" s="54"/>
      <c r="G233" s="54"/>
      <c r="H233" s="54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6">
        <f t="array" ref="W233">IF(A233&lt;&gt;"",_xlfn.IFS(A233="Grade 1",SUM(L233:T233),A233="Grade 2",SUM(L233:V233),A233="Grade 3",SUM(L233:T233)),"")</f>
      </c>
      <c r="X233" s="57"/>
    </row>
    <row r="234" ht="19.95" customHeight="1" spans="1:24" x14ac:dyDescent="0.25">
      <c r="A234" s="50"/>
      <c r="B234" s="51"/>
      <c r="C234" s="51"/>
      <c r="D234" s="52"/>
      <c r="E234" s="53"/>
      <c r="F234" s="54"/>
      <c r="G234" s="54"/>
      <c r="H234" s="54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6">
        <f t="array" ref="W234">IF(A234&lt;&gt;"",_xlfn.IFS(A234="Grade 1",SUM(L234:T234),A234="Grade 2",SUM(L234:V234),A234="Grade 3",SUM(L234:T234)),"")</f>
      </c>
      <c r="X234" s="57"/>
    </row>
    <row r="235" ht="19.95" customHeight="1" spans="1:24" x14ac:dyDescent="0.25">
      <c r="A235" s="50"/>
      <c r="B235" s="51"/>
      <c r="C235" s="51"/>
      <c r="D235" s="52"/>
      <c r="E235" s="53"/>
      <c r="F235" s="54"/>
      <c r="G235" s="54"/>
      <c r="H235" s="54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6">
        <f t="array" ref="W235">IF(A235&lt;&gt;"",_xlfn.IFS(A235="Grade 1",SUM(L235:T235),A235="Grade 2",SUM(L235:V235),A235="Grade 3",SUM(L235:T235)),"")</f>
      </c>
      <c r="X235" s="57"/>
    </row>
    <row r="236" ht="19.95" customHeight="1" spans="1:24" x14ac:dyDescent="0.25">
      <c r="A236" s="50"/>
      <c r="B236" s="51"/>
      <c r="C236" s="51"/>
      <c r="D236" s="52"/>
      <c r="E236" s="53"/>
      <c r="F236" s="54"/>
      <c r="G236" s="54"/>
      <c r="H236" s="54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6">
        <f t="array" ref="W236">IF(A236&lt;&gt;"",_xlfn.IFS(A236="Grade 1",SUM(L236:T236),A236="Grade 2",SUM(L236:V236),A236="Grade 3",SUM(L236:T236)),"")</f>
      </c>
      <c r="X236" s="57"/>
    </row>
    <row r="237" ht="19.95" customHeight="1" spans="1:24" x14ac:dyDescent="0.25">
      <c r="A237" s="50"/>
      <c r="B237" s="51"/>
      <c r="C237" s="51"/>
      <c r="D237" s="52"/>
      <c r="E237" s="53"/>
      <c r="F237" s="54"/>
      <c r="G237" s="54"/>
      <c r="H237" s="54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6">
        <f t="array" ref="W237">IF(A237&lt;&gt;"",_xlfn.IFS(A237="Grade 1",SUM(L237:T237),A237="Grade 2",SUM(L237:V237),A237="Grade 3",SUM(L237:T237)),"")</f>
      </c>
      <c r="X237" s="57"/>
    </row>
    <row r="238" ht="19.95" customHeight="1" spans="1:24" x14ac:dyDescent="0.25">
      <c r="A238" s="50"/>
      <c r="B238" s="51"/>
      <c r="C238" s="51"/>
      <c r="D238" s="52"/>
      <c r="E238" s="53"/>
      <c r="F238" s="54"/>
      <c r="G238" s="54"/>
      <c r="H238" s="54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6">
        <f t="array" ref="W238">IF(A238&lt;&gt;"",_xlfn.IFS(A238="Grade 1",SUM(L238:T238),A238="Grade 2",SUM(L238:V238),A238="Grade 3",SUM(L238:T238)),"")</f>
      </c>
      <c r="X238" s="57"/>
    </row>
    <row r="239" ht="19.95" customHeight="1" spans="1:24" x14ac:dyDescent="0.25">
      <c r="A239" s="50"/>
      <c r="B239" s="51"/>
      <c r="C239" s="51"/>
      <c r="D239" s="52"/>
      <c r="E239" s="53"/>
      <c r="F239" s="54"/>
      <c r="G239" s="54"/>
      <c r="H239" s="54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6">
        <f t="array" ref="W239">IF(A239&lt;&gt;"",_xlfn.IFS(A239="Grade 1",SUM(L239:T239),A239="Grade 2",SUM(L239:V239),A239="Grade 3",SUM(L239:T239)),"")</f>
      </c>
      <c r="X239" s="57"/>
    </row>
    <row r="240" ht="19.95" customHeight="1" spans="1:24" x14ac:dyDescent="0.25">
      <c r="A240" s="50"/>
      <c r="B240" s="51"/>
      <c r="C240" s="51"/>
      <c r="D240" s="52"/>
      <c r="E240" s="53"/>
      <c r="F240" s="54"/>
      <c r="G240" s="54"/>
      <c r="H240" s="54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6">
        <f t="array" ref="W240">IF(A240&lt;&gt;"",_xlfn.IFS(A240="Grade 1",SUM(L240:T240),A240="Grade 2",SUM(L240:V240),A240="Grade 3",SUM(L240:T240)),"")</f>
      </c>
      <c r="X240" s="57"/>
    </row>
    <row r="241" ht="19.95" customHeight="1" spans="1:24" x14ac:dyDescent="0.25">
      <c r="A241" s="50"/>
      <c r="B241" s="51"/>
      <c r="C241" s="51"/>
      <c r="D241" s="52"/>
      <c r="E241" s="53"/>
      <c r="F241" s="54"/>
      <c r="G241" s="54"/>
      <c r="H241" s="54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6">
        <f t="array" ref="W241">IF(A241&lt;&gt;"",_xlfn.IFS(A241="Grade 1",SUM(L241:T241),A241="Grade 2",SUM(L241:V241),A241="Grade 3",SUM(L241:T241)),"")</f>
      </c>
      <c r="X241" s="57"/>
    </row>
    <row r="242" ht="19.95" customHeight="1" spans="1:24" x14ac:dyDescent="0.25">
      <c r="A242" s="50"/>
      <c r="B242" s="51"/>
      <c r="C242" s="51"/>
      <c r="D242" s="52"/>
      <c r="E242" s="53"/>
      <c r="F242" s="54"/>
      <c r="G242" s="54"/>
      <c r="H242" s="54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6">
        <f t="array" ref="W242">IF(A242&lt;&gt;"",_xlfn.IFS(A242="Grade 1",SUM(L242:T242),A242="Grade 2",SUM(L242:V242),A242="Grade 3",SUM(L242:T242)),"")</f>
      </c>
      <c r="X242" s="57"/>
    </row>
    <row r="243" ht="19.95" customHeight="1" spans="1:24" x14ac:dyDescent="0.25">
      <c r="A243" s="50"/>
      <c r="B243" s="51"/>
      <c r="C243" s="51"/>
      <c r="D243" s="52"/>
      <c r="E243" s="53"/>
      <c r="F243" s="54"/>
      <c r="G243" s="54"/>
      <c r="H243" s="54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6">
        <f t="array" ref="W243">IF(A243&lt;&gt;"",_xlfn.IFS(A243="Grade 1",SUM(L243:T243),A243="Grade 2",SUM(L243:V243),A243="Grade 3",SUM(L243:T243)),"")</f>
      </c>
      <c r="X243" s="57"/>
    </row>
    <row r="244" ht="19.95" customHeight="1" spans="1:24" x14ac:dyDescent="0.25">
      <c r="A244" s="50"/>
      <c r="B244" s="51"/>
      <c r="C244" s="51"/>
      <c r="D244" s="52"/>
      <c r="E244" s="53"/>
      <c r="F244" s="54"/>
      <c r="G244" s="54"/>
      <c r="H244" s="54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6">
        <f t="array" ref="W244">IF(A244&lt;&gt;"",_xlfn.IFS(A244="Grade 1",SUM(L244:T244),A244="Grade 2",SUM(L244:V244),A244="Grade 3",SUM(L244:T244)),"")</f>
      </c>
      <c r="X244" s="57"/>
    </row>
    <row r="245" ht="19.95" customHeight="1" spans="1:24" x14ac:dyDescent="0.25">
      <c r="A245" s="50"/>
      <c r="B245" s="51"/>
      <c r="C245" s="51"/>
      <c r="D245" s="52"/>
      <c r="E245" s="53"/>
      <c r="F245" s="54"/>
      <c r="G245" s="54"/>
      <c r="H245" s="54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6">
        <f t="array" ref="W245">IF(A245&lt;&gt;"",_xlfn.IFS(A245="Grade 1",SUM(L245:T245),A245="Grade 2",SUM(L245:V245),A245="Grade 3",SUM(L245:T245)),"")</f>
      </c>
      <c r="X245" s="57"/>
    </row>
    <row r="246" ht="19.95" customHeight="1" spans="1:24" x14ac:dyDescent="0.25">
      <c r="A246" s="50"/>
      <c r="B246" s="51"/>
      <c r="C246" s="51"/>
      <c r="D246" s="52"/>
      <c r="E246" s="53"/>
      <c r="F246" s="54"/>
      <c r="G246" s="54"/>
      <c r="H246" s="54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6">
        <f t="array" ref="W246">IF(A246&lt;&gt;"",_xlfn.IFS(A246="Grade 1",SUM(L246:T246),A246="Grade 2",SUM(L246:V246),A246="Grade 3",SUM(L246:T246)),"")</f>
      </c>
      <c r="X246" s="57"/>
    </row>
    <row r="247" ht="19.95" customHeight="1" spans="1:24" x14ac:dyDescent="0.25">
      <c r="A247" s="50"/>
      <c r="B247" s="51"/>
      <c r="C247" s="51"/>
      <c r="D247" s="52"/>
      <c r="E247" s="53"/>
      <c r="F247" s="54"/>
      <c r="G247" s="54"/>
      <c r="H247" s="54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6">
        <f t="array" ref="W247">IF(A247&lt;&gt;"",_xlfn.IFS(A247="Grade 1",SUM(L247:T247),A247="Grade 2",SUM(L247:V247),A247="Grade 3",SUM(L247:T247)),"")</f>
      </c>
      <c r="X247" s="57"/>
    </row>
    <row r="248" ht="19.95" customHeight="1" spans="1:24" x14ac:dyDescent="0.25">
      <c r="A248" s="50"/>
      <c r="B248" s="51"/>
      <c r="C248" s="51"/>
      <c r="D248" s="52"/>
      <c r="E248" s="53"/>
      <c r="F248" s="54"/>
      <c r="G248" s="54"/>
      <c r="H248" s="54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6">
        <f t="array" ref="W248">IF(A248&lt;&gt;"",_xlfn.IFS(A248="Grade 1",SUM(L248:T248),A248="Grade 2",SUM(L248:V248),A248="Grade 3",SUM(L248:T248)),"")</f>
      </c>
      <c r="X248" s="57"/>
    </row>
    <row r="249" ht="19.95" customHeight="1" spans="1:24" x14ac:dyDescent="0.25">
      <c r="A249" s="50"/>
      <c r="B249" s="51"/>
      <c r="C249" s="51"/>
      <c r="D249" s="52"/>
      <c r="E249" s="53"/>
      <c r="F249" s="54"/>
      <c r="G249" s="54"/>
      <c r="H249" s="54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6">
        <f t="array" ref="W249">IF(A249&lt;&gt;"",_xlfn.IFS(A249="Grade 1",SUM(L249:T249),A249="Grade 2",SUM(L249:V249),A249="Grade 3",SUM(L249:T249)),"")</f>
      </c>
      <c r="X249" s="57"/>
    </row>
    <row r="250" ht="19.95" customHeight="1" spans="1:24" x14ac:dyDescent="0.25">
      <c r="A250" s="50"/>
      <c r="B250" s="51"/>
      <c r="C250" s="51"/>
      <c r="D250" s="52"/>
      <c r="E250" s="53"/>
      <c r="F250" s="54"/>
      <c r="G250" s="54"/>
      <c r="H250" s="54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6">
        <f t="array" ref="W250">IF(A250&lt;&gt;"",_xlfn.IFS(A250="Grade 1",SUM(L250:T250),A250="Grade 2",SUM(L250:V250),A250="Grade 3",SUM(L250:T250)),"")</f>
      </c>
      <c r="X250" s="57"/>
    </row>
    <row r="251" ht="19.95" customHeight="1" hidden="1" spans="1:24" x14ac:dyDescent="0.25">
      <c r="A251" s="50"/>
      <c r="B251" s="51"/>
      <c r="C251" s="51"/>
      <c r="D251" s="52"/>
      <c r="E251" s="53"/>
      <c r="F251" s="54"/>
      <c r="G251" s="54"/>
      <c r="H251" s="54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8">
        <f t="array" ref="W251">IF(A251&lt;&gt;"",_xlfn.IFS(A251="Grade 1",SUM(L251:T251),A251="Grade 2",SUM(L251:V251),A251="Grade 3",SUM(L251:T251)),"")</f>
      </c>
      <c r="X251" s="57" t="str">
        <f t="shared" ref="X251:X282" si="4">IF(ISBLANK(A251)," ",IF(SUM(I251:K251)=E251,"Data Validated","Data with Error"))</f>
        <v> </v>
      </c>
    </row>
    <row r="252" ht="19.95" customHeight="1" hidden="1" spans="1:24" x14ac:dyDescent="0.25">
      <c r="A252" s="50"/>
      <c r="B252" s="51"/>
      <c r="C252" s="51"/>
      <c r="D252" s="52"/>
      <c r="E252" s="53"/>
      <c r="F252" s="54"/>
      <c r="G252" s="54"/>
      <c r="H252" s="54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8">
        <f t="array" ref="W252">IF(A252&lt;&gt;"",_xlfn.IFS(A252="Grade 1",SUM(L252:T252),A252="Grade 2",SUM(L252:V252),A252="Grade 3",SUM(L252:T252)),"")</f>
      </c>
      <c r="X252" s="57"/>
    </row>
    <row r="253" ht="19.95" customHeight="1" hidden="1" spans="1:24" x14ac:dyDescent="0.25">
      <c r="A253" s="50"/>
      <c r="B253" s="51"/>
      <c r="C253" s="51"/>
      <c r="D253" s="52"/>
      <c r="E253" s="53"/>
      <c r="F253" s="54"/>
      <c r="G253" s="54"/>
      <c r="H253" s="54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8">
        <f t="array" ref="W253">IF(A253&lt;&gt;"",_xlfn.IFS(A253="Grade 1",SUM(L253:T253),A253="Grade 2",SUM(L253:V253),A253="Grade 3",SUM(L253:T253)),"")</f>
      </c>
      <c r="X253" s="57"/>
    </row>
    <row r="254" ht="19.95" customHeight="1" hidden="1" spans="1:24" x14ac:dyDescent="0.25">
      <c r="A254" s="50"/>
      <c r="B254" s="51"/>
      <c r="C254" s="51"/>
      <c r="D254" s="52"/>
      <c r="E254" s="53"/>
      <c r="F254" s="54"/>
      <c r="G254" s="54"/>
      <c r="H254" s="54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8">
        <f t="array" ref="W254">IF(A254&lt;&gt;"",_xlfn.IFS(A254="Grade 1",SUM(L254:T254),A254="Grade 2",SUM(L254:V254),A254="Grade 3",SUM(L254:T254)),"")</f>
      </c>
      <c r="X254" s="57"/>
    </row>
    <row r="255" ht="19.95" customHeight="1" hidden="1" spans="1:24" x14ac:dyDescent="0.25">
      <c r="A255" s="50"/>
      <c r="B255" s="51"/>
      <c r="C255" s="51"/>
      <c r="D255" s="52"/>
      <c r="E255" s="53"/>
      <c r="F255" s="54"/>
      <c r="G255" s="54"/>
      <c r="H255" s="54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8">
        <f t="array" ref="W255">IF(A255&lt;&gt;"",_xlfn.IFS(A255="Grade 1",SUM(L255:T255),A255="Grade 2",SUM(L255:V255),A255="Grade 3",SUM(L255:T255)),"")</f>
      </c>
      <c r="X255" s="57"/>
    </row>
    <row r="256" ht="19.95" customHeight="1" hidden="1" spans="1:24" x14ac:dyDescent="0.25">
      <c r="A256" s="50"/>
      <c r="B256" s="51"/>
      <c r="C256" s="51"/>
      <c r="D256" s="52"/>
      <c r="E256" s="53"/>
      <c r="F256" s="54"/>
      <c r="G256" s="54"/>
      <c r="H256" s="54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8">
        <f t="array" ref="W256">IF(A256&lt;&gt;"",_xlfn.IFS(A256="Grade 1",SUM(L256:T256),A256="Grade 2",SUM(L256:V256),A256="Grade 3",SUM(L256:T256)),"")</f>
      </c>
      <c r="X256" s="57"/>
    </row>
    <row r="257" ht="19.95" customHeight="1" hidden="1" spans="1:24" x14ac:dyDescent="0.25">
      <c r="A257" s="50"/>
      <c r="B257" s="51"/>
      <c r="C257" s="51"/>
      <c r="D257" s="52"/>
      <c r="E257" s="53"/>
      <c r="F257" s="54"/>
      <c r="G257" s="54"/>
      <c r="H257" s="54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8">
        <f t="array" ref="W257">IF(A257&lt;&gt;"",_xlfn.IFS(A257="Grade 1",SUM(L257:T257),A257="Grade 2",SUM(L257:V257),A257="Grade 3",SUM(L257:T257)),"")</f>
      </c>
      <c r="X257" s="57"/>
    </row>
    <row r="258" ht="19.95" customHeight="1" hidden="1" spans="1:24" x14ac:dyDescent="0.25">
      <c r="A258" s="50"/>
      <c r="B258" s="51"/>
      <c r="C258" s="51"/>
      <c r="D258" s="52"/>
      <c r="E258" s="53"/>
      <c r="F258" s="54"/>
      <c r="G258" s="54"/>
      <c r="H258" s="54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8">
        <f t="array" ref="W258">IF(A258&lt;&gt;"",_xlfn.IFS(A258="Grade 1",SUM(L258:T258),A258="Grade 2",SUM(L258:V258),A258="Grade 3",SUM(L258:T258)),"")</f>
      </c>
      <c r="X258" s="57"/>
    </row>
    <row r="259" ht="19.95" customHeight="1" hidden="1" spans="1:24" x14ac:dyDescent="0.25">
      <c r="A259" s="50"/>
      <c r="B259" s="51"/>
      <c r="C259" s="51"/>
      <c r="D259" s="52"/>
      <c r="E259" s="53"/>
      <c r="F259" s="54"/>
      <c r="G259" s="54"/>
      <c r="H259" s="54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8">
        <f t="array" ref="W259">IF(A259&lt;&gt;"",_xlfn.IFS(A259="Grade 1",SUM(L259:T259),A259="Grade 2",SUM(L259:V259),A259="Grade 3",SUM(L259:T259)),"")</f>
      </c>
      <c r="X259" s="57"/>
    </row>
    <row r="260" ht="19.95" customHeight="1" hidden="1" spans="1:24" x14ac:dyDescent="0.25">
      <c r="A260" s="50"/>
      <c r="B260" s="51"/>
      <c r="C260" s="51"/>
      <c r="D260" s="52"/>
      <c r="E260" s="53"/>
      <c r="F260" s="54"/>
      <c r="G260" s="54"/>
      <c r="H260" s="54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8">
        <f t="array" ref="W260">IF(A260&lt;&gt;"",_xlfn.IFS(A260="Grade 1",SUM(L260:T260),A260="Grade 2",SUM(L260:V260),A260="Grade 3",SUM(L260:T260)),"")</f>
      </c>
      <c r="X260" s="57"/>
    </row>
    <row r="261" ht="19.95" customHeight="1" hidden="1" spans="1:24" x14ac:dyDescent="0.25">
      <c r="A261" s="50"/>
      <c r="B261" s="51"/>
      <c r="C261" s="51"/>
      <c r="D261" s="52"/>
      <c r="E261" s="53"/>
      <c r="F261" s="54"/>
      <c r="G261" s="54"/>
      <c r="H261" s="54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8">
        <f t="array" ref="W261">IF(A261&lt;&gt;"",_xlfn.IFS(A261="Grade 1",SUM(L261:T261),A261="Grade 2",SUM(L261:V261),A261="Grade 3",SUM(L261:T261)),"")</f>
      </c>
      <c r="X261" s="57"/>
    </row>
    <row r="262" ht="19.95" customHeight="1" hidden="1" spans="1:24" x14ac:dyDescent="0.25">
      <c r="A262" s="50"/>
      <c r="B262" s="51"/>
      <c r="C262" s="51"/>
      <c r="D262" s="52"/>
      <c r="E262" s="53"/>
      <c r="F262" s="54"/>
      <c r="G262" s="54"/>
      <c r="H262" s="54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8">
        <f t="array" ref="W262">IF(A262&lt;&gt;"",_xlfn.IFS(A262="Grade 1",SUM(L262:T262),A262="Grade 2",SUM(L262:V262),A262="Grade 3",SUM(L262:T262)),"")</f>
      </c>
      <c r="X262" s="57"/>
    </row>
    <row r="263" ht="19.95" customHeight="1" hidden="1" spans="1:24" x14ac:dyDescent="0.25">
      <c r="A263" s="50"/>
      <c r="B263" s="51"/>
      <c r="C263" s="51"/>
      <c r="D263" s="52"/>
      <c r="E263" s="53"/>
      <c r="F263" s="54"/>
      <c r="G263" s="54"/>
      <c r="H263" s="54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8">
        <f t="array" ref="W263">IF(A263&lt;&gt;"",_xlfn.IFS(A263="Grade 1",SUM(L263:T263),A263="Grade 2",SUM(L263:V263),A263="Grade 3",SUM(L263:T263)),"")</f>
      </c>
      <c r="X263" s="57"/>
    </row>
    <row r="264" ht="19.95" customHeight="1" hidden="1" spans="1:24" x14ac:dyDescent="0.25">
      <c r="A264" s="50"/>
      <c r="B264" s="51"/>
      <c r="C264" s="51"/>
      <c r="D264" s="52"/>
      <c r="E264" s="53"/>
      <c r="F264" s="54"/>
      <c r="G264" s="54"/>
      <c r="H264" s="54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8">
        <f t="array" ref="W264">IF(A264&lt;&gt;"",_xlfn.IFS(A264="Grade 1",SUM(L264:T264),A264="Grade 2",SUM(L264:V264),A264="Grade 3",SUM(L264:T264)),"")</f>
      </c>
      <c r="X264" s="57"/>
    </row>
    <row r="265" ht="19.95" customHeight="1" hidden="1" spans="1:24" x14ac:dyDescent="0.25">
      <c r="A265" s="50"/>
      <c r="B265" s="51"/>
      <c r="C265" s="51"/>
      <c r="D265" s="52"/>
      <c r="E265" s="53"/>
      <c r="F265" s="54"/>
      <c r="G265" s="54"/>
      <c r="H265" s="54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8">
        <f t="array" ref="W265">IF(A265&lt;&gt;"",_xlfn.IFS(A265="Grade 1",SUM(L265:T265),A265="Grade 2",SUM(L265:V265),A265="Grade 3",SUM(L265:T265)),"")</f>
      </c>
      <c r="X265" s="57"/>
    </row>
    <row r="266" ht="19.95" customHeight="1" hidden="1" spans="1:24" x14ac:dyDescent="0.25">
      <c r="A266" s="50"/>
      <c r="B266" s="51"/>
      <c r="C266" s="51"/>
      <c r="D266" s="52"/>
      <c r="E266" s="53"/>
      <c r="F266" s="54"/>
      <c r="G266" s="54"/>
      <c r="H266" s="54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8">
        <f t="array" ref="W266">IF(A266&lt;&gt;"",_xlfn.IFS(A266="Grade 1",SUM(L266:T266),A266="Grade 2",SUM(L266:V266),A266="Grade 3",SUM(L266:T266)),"")</f>
      </c>
      <c r="X266" s="57"/>
    </row>
    <row r="267" ht="19.95" customHeight="1" hidden="1" spans="1:24" x14ac:dyDescent="0.25">
      <c r="A267" s="50"/>
      <c r="B267" s="51"/>
      <c r="C267" s="51"/>
      <c r="D267" s="52"/>
      <c r="E267" s="53"/>
      <c r="F267" s="54"/>
      <c r="G267" s="54"/>
      <c r="H267" s="54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8">
        <f t="array" ref="W267">IF(A267&lt;&gt;"",_xlfn.IFS(A267="Grade 1",SUM(L267:T267),A267="Grade 2",SUM(L267:V267),A267="Grade 3",SUM(L267:T267)),"")</f>
      </c>
      <c r="X267" s="57"/>
    </row>
    <row r="268" ht="19.95" customHeight="1" hidden="1" spans="1:24" x14ac:dyDescent="0.25">
      <c r="A268" s="50"/>
      <c r="B268" s="51"/>
      <c r="C268" s="51"/>
      <c r="D268" s="52"/>
      <c r="E268" s="53"/>
      <c r="F268" s="54"/>
      <c r="G268" s="54"/>
      <c r="H268" s="54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8">
        <f t="array" ref="W268">IF(A268&lt;&gt;"",_xlfn.IFS(A268="Grade 1",SUM(L268:T268),A268="Grade 2",SUM(L268:V268),A268="Grade 3",SUM(L268:T268)),"")</f>
      </c>
      <c r="X268" s="57"/>
    </row>
    <row r="269" ht="19.95" customHeight="1" hidden="1" spans="1:24" x14ac:dyDescent="0.25">
      <c r="A269" s="50"/>
      <c r="B269" s="51"/>
      <c r="C269" s="51"/>
      <c r="D269" s="52"/>
      <c r="E269" s="53"/>
      <c r="F269" s="54"/>
      <c r="G269" s="54"/>
      <c r="H269" s="54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8">
        <f t="array" ref="W269">IF(A269&lt;&gt;"",_xlfn.IFS(A269="Grade 1",SUM(L269:T269),A269="Grade 2",SUM(L269:V269),A269="Grade 3",SUM(L269:T269)),"")</f>
      </c>
      <c r="X269" s="57"/>
    </row>
    <row r="270" ht="19.95" customHeight="1" hidden="1" spans="1:24" x14ac:dyDescent="0.25">
      <c r="A270" s="50"/>
      <c r="B270" s="51"/>
      <c r="C270" s="51"/>
      <c r="D270" s="52"/>
      <c r="E270" s="53"/>
      <c r="F270" s="54"/>
      <c r="G270" s="54"/>
      <c r="H270" s="54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8">
        <f t="array" ref="W270">IF(A270&lt;&gt;"",_xlfn.IFS(A270="Grade 1",SUM(L270:T270),A270="Grade 2",SUM(L270:V270),A270="Grade 3",SUM(L270:T270)),"")</f>
      </c>
      <c r="X270" s="57"/>
    </row>
    <row r="271" ht="19.95" customHeight="1" hidden="1" spans="1:24" x14ac:dyDescent="0.25">
      <c r="A271" s="50"/>
      <c r="B271" s="51"/>
      <c r="C271" s="51"/>
      <c r="D271" s="52"/>
      <c r="E271" s="53"/>
      <c r="F271" s="54"/>
      <c r="G271" s="54"/>
      <c r="H271" s="54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8">
        <f t="array" ref="W271">IF(A271&lt;&gt;"",_xlfn.IFS(A271="Grade 1",SUM(L271:T271),A271="Grade 2",SUM(L271:V271),A271="Grade 3",SUM(L271:T271)),"")</f>
      </c>
      <c r="X271" s="57"/>
    </row>
    <row r="272" ht="19.95" customHeight="1" hidden="1" spans="1:24" x14ac:dyDescent="0.25">
      <c r="A272" s="50"/>
      <c r="B272" s="51"/>
      <c r="C272" s="51"/>
      <c r="D272" s="52"/>
      <c r="E272" s="53"/>
      <c r="F272" s="54"/>
      <c r="G272" s="54"/>
      <c r="H272" s="54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8">
        <f t="array" ref="W272">IF(A272&lt;&gt;"",_xlfn.IFS(A272="Grade 1",SUM(L272:T272),A272="Grade 2",SUM(L272:V272),A272="Grade 3",SUM(L272:T272)),"")</f>
      </c>
      <c r="X272" s="57"/>
    </row>
    <row r="273" ht="20.4" customHeight="1" hidden="1" spans="1:24" x14ac:dyDescent="0.25">
      <c r="A273" s="50"/>
      <c r="B273" s="51"/>
      <c r="C273" s="51"/>
      <c r="D273" s="52"/>
      <c r="E273" s="53"/>
      <c r="F273" s="54"/>
      <c r="G273" s="54"/>
      <c r="H273" s="54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8">
        <f t="array" ref="W273">IF(A273&lt;&gt;"",_xlfn.IFS(A273="Grade 1",SUM(L273:T273),A273="Grade 2",SUM(L273:V273),A273="Grade 3",SUM(L273:T273)),"")</f>
      </c>
      <c r="X273" s="57"/>
    </row>
    <row r="274" ht="19.95" customHeight="1" hidden="1" spans="1:24" x14ac:dyDescent="0.25">
      <c r="A274" s="50"/>
      <c r="B274" s="51"/>
      <c r="C274" s="51"/>
      <c r="D274" s="52"/>
      <c r="E274" s="53"/>
      <c r="F274" s="54"/>
      <c r="G274" s="54"/>
      <c r="H274" s="54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8">
        <f t="array" ref="W274">IF(A274&lt;&gt;"",_xlfn.IFS(A274="Grade 1",SUM(L274:T274),A274="Grade 2",SUM(L274:V274),A274="Grade 3",SUM(L274:T274)),"")</f>
      </c>
      <c r="X274" s="57"/>
    </row>
    <row r="275" ht="19.95" customHeight="1" hidden="1" spans="1:24" x14ac:dyDescent="0.25">
      <c r="A275" s="50"/>
      <c r="B275" s="51"/>
      <c r="C275" s="51"/>
      <c r="D275" s="52"/>
      <c r="E275" s="53"/>
      <c r="F275" s="54"/>
      <c r="G275" s="54"/>
      <c r="H275" s="54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8">
        <f t="array" ref="W275">IF(A275&lt;&gt;"",_xlfn.IFS(A275="Grade 1",SUM(L275:T275),A275="Grade 2",SUM(L275:V275),A275="Grade 3",SUM(L275:T275)),"")</f>
      </c>
      <c r="X275" s="57"/>
    </row>
    <row r="276" ht="19.95" customHeight="1" hidden="1" spans="1:24" x14ac:dyDescent="0.25">
      <c r="A276" s="50"/>
      <c r="B276" s="51"/>
      <c r="C276" s="51"/>
      <c r="D276" s="52"/>
      <c r="E276" s="53"/>
      <c r="F276" s="54"/>
      <c r="G276" s="54"/>
      <c r="H276" s="54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8">
        <f t="array" ref="W276">IF(A276&lt;&gt;"",_xlfn.IFS(A276="Grade 1",SUM(L276:T276),A276="Grade 2",SUM(L276:V276),A276="Grade 3",SUM(L276:T276)),"")</f>
      </c>
      <c r="X276" s="57"/>
    </row>
    <row r="277" ht="19.95" customHeight="1" hidden="1" spans="1:24" x14ac:dyDescent="0.25">
      <c r="A277" s="50"/>
      <c r="B277" s="51"/>
      <c r="C277" s="51"/>
      <c r="D277" s="52"/>
      <c r="E277" s="53"/>
      <c r="F277" s="54"/>
      <c r="G277" s="54"/>
      <c r="H277" s="54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8">
        <f t="array" ref="W277">IF(A277&lt;&gt;"",_xlfn.IFS(A277="Grade 1",SUM(L277:T277),A277="Grade 2",SUM(L277:V277),A277="Grade 3",SUM(L277:T277)),"")</f>
      </c>
      <c r="X277" s="57"/>
    </row>
    <row r="278" ht="19.95" customHeight="1" hidden="1" spans="1:24" x14ac:dyDescent="0.25">
      <c r="A278" s="50"/>
      <c r="B278" s="51"/>
      <c r="C278" s="51"/>
      <c r="D278" s="52"/>
      <c r="E278" s="53"/>
      <c r="F278" s="54"/>
      <c r="G278" s="54"/>
      <c r="H278" s="54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8">
        <f t="array" ref="W278">IF(A278&lt;&gt;"",_xlfn.IFS(A278="Grade 1",SUM(L278:T278),A278="Grade 2",SUM(L278:V278),A278="Grade 3",SUM(L278:T278)),"")</f>
      </c>
      <c r="X278" s="57"/>
    </row>
    <row r="279" ht="19.95" customHeight="1" hidden="1" spans="1:24" x14ac:dyDescent="0.25">
      <c r="A279" s="50"/>
      <c r="B279" s="51"/>
      <c r="C279" s="51"/>
      <c r="D279" s="52"/>
      <c r="E279" s="53"/>
      <c r="F279" s="54"/>
      <c r="G279" s="54"/>
      <c r="H279" s="54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8">
        <f t="array" ref="W279">IF(A279&lt;&gt;"",_xlfn.IFS(A279="Grade 1",SUM(L279:T279),A279="Grade 2",SUM(L279:V279),A279="Grade 3",SUM(L279:T279)),"")</f>
      </c>
      <c r="X279" s="57"/>
    </row>
    <row r="280" ht="19.95" customHeight="1" hidden="1" spans="1:24" x14ac:dyDescent="0.25">
      <c r="A280" s="50"/>
      <c r="B280" s="51"/>
      <c r="C280" s="51"/>
      <c r="D280" s="52"/>
      <c r="E280" s="53"/>
      <c r="F280" s="54"/>
      <c r="G280" s="54"/>
      <c r="H280" s="54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8">
        <f t="array" ref="W280">IF(A280&lt;&gt;"",_xlfn.IFS(A280="Grade 1",SUM(L280:T280),A280="Grade 2",SUM(L280:V280),A280="Grade 3",SUM(L280:T280)),"")</f>
      </c>
      <c r="X280" s="57"/>
    </row>
    <row r="281" ht="19.95" customHeight="1" hidden="1" spans="1:24" x14ac:dyDescent="0.25">
      <c r="A281" s="50"/>
      <c r="B281" s="51"/>
      <c r="C281" s="51"/>
      <c r="D281" s="52"/>
      <c r="E281" s="53"/>
      <c r="F281" s="54"/>
      <c r="G281" s="54"/>
      <c r="H281" s="54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8">
        <f t="array" ref="W281">IF(A281&lt;&gt;"",_xlfn.IFS(A281="Grade 1",SUM(L281:T281),A281="Grade 2",SUM(L281:V281),A281="Grade 3",SUM(L281:T281)),"")</f>
      </c>
      <c r="X281" s="57"/>
    </row>
    <row r="282" ht="19.95" customHeight="1" hidden="1" spans="1:24" x14ac:dyDescent="0.25">
      <c r="A282" s="50"/>
      <c r="B282" s="51"/>
      <c r="C282" s="51"/>
      <c r="D282" s="52"/>
      <c r="E282" s="53"/>
      <c r="F282" s="54"/>
      <c r="G282" s="54"/>
      <c r="H282" s="54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8">
        <f t="array" ref="W282">IF(A282&lt;&gt;"",_xlfn.IFS(A282="Grade 1",SUM(L282:T282),A282="Grade 2",SUM(L282:V282),A282="Grade 3",SUM(L282:T282)),"")</f>
      </c>
      <c r="X282" s="57"/>
    </row>
    <row r="283" ht="19.95" customHeight="1" hidden="1" spans="1:24" x14ac:dyDescent="0.25">
      <c r="A283" s="50"/>
      <c r="B283" s="51"/>
      <c r="C283" s="51"/>
      <c r="D283" s="52"/>
      <c r="E283" s="53"/>
      <c r="F283" s="54"/>
      <c r="G283" s="54"/>
      <c r="H283" s="54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8">
        <f t="array" ref="W283">IF(A283&lt;&gt;"",_xlfn.IFS(A283="Grade 1",SUM(L283:T283),A283="Grade 2",SUM(L283:V283),A283="Grade 3",SUM(L283:T283)),"")</f>
      </c>
      <c r="X283" s="57" t="str">
        <f t="shared" ref="X283:X314" si="5">IF(ISBLANK(A283)," ",IF(SUM(I283:K283)=E283,"Data Validated","Data with Error"))</f>
        <v> </v>
      </c>
    </row>
    <row r="284" ht="19.95" customHeight="1" hidden="1" spans="1:24" x14ac:dyDescent="0.25">
      <c r="A284" s="50"/>
      <c r="B284" s="51"/>
      <c r="C284" s="51"/>
      <c r="D284" s="52"/>
      <c r="E284" s="53"/>
      <c r="F284" s="54"/>
      <c r="G284" s="54"/>
      <c r="H284" s="54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8">
        <f t="array" ref="W284">IF(A284&lt;&gt;"",_xlfn.IFS(A284="Grade 1",SUM(L284:T284),A284="Grade 2",SUM(L284:V284),A284="Grade 3",SUM(L284:T284)),"")</f>
      </c>
      <c r="X284" s="57"/>
    </row>
    <row r="285" ht="19.95" customHeight="1" hidden="1" spans="1:24" x14ac:dyDescent="0.25">
      <c r="A285" s="50"/>
      <c r="B285" s="51"/>
      <c r="C285" s="51"/>
      <c r="D285" s="52"/>
      <c r="E285" s="53"/>
      <c r="F285" s="54"/>
      <c r="G285" s="54"/>
      <c r="H285" s="54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8">
        <f t="array" ref="W285">IF(A285&lt;&gt;"",_xlfn.IFS(A285="Grade 1",SUM(L285:T285),A285="Grade 2",SUM(L285:V285),A285="Grade 3",SUM(L285:T285)),"")</f>
      </c>
      <c r="X285" s="57"/>
    </row>
    <row r="286" ht="19.95" customHeight="1" hidden="1" spans="1:24" x14ac:dyDescent="0.25">
      <c r="A286" s="50"/>
      <c r="B286" s="51"/>
      <c r="C286" s="51"/>
      <c r="D286" s="52"/>
      <c r="E286" s="53"/>
      <c r="F286" s="54"/>
      <c r="G286" s="54"/>
      <c r="H286" s="54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8">
        <f t="array" ref="W286">IF(A286&lt;&gt;"",_xlfn.IFS(A286="Grade 1",SUM(L286:T286),A286="Grade 2",SUM(L286:V286),A286="Grade 3",SUM(L286:T286)),"")</f>
      </c>
      <c r="X286" s="57"/>
    </row>
    <row r="287" ht="19.95" customHeight="1" hidden="1" spans="1:24" x14ac:dyDescent="0.25">
      <c r="A287" s="50"/>
      <c r="B287" s="51"/>
      <c r="C287" s="51"/>
      <c r="D287" s="52"/>
      <c r="E287" s="53"/>
      <c r="F287" s="54"/>
      <c r="G287" s="54"/>
      <c r="H287" s="54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8">
        <f t="array" ref="W287">IF(A287&lt;&gt;"",_xlfn.IFS(A287="Grade 1",SUM(L287:T287),A287="Grade 2",SUM(L287:V287),A287="Grade 3",SUM(L287:T287)),"")</f>
      </c>
      <c r="X287" s="57"/>
    </row>
    <row r="288" ht="19.95" customHeight="1" hidden="1" spans="1:24" x14ac:dyDescent="0.25">
      <c r="A288" s="50"/>
      <c r="B288" s="51"/>
      <c r="C288" s="51"/>
      <c r="D288" s="52"/>
      <c r="E288" s="53"/>
      <c r="F288" s="54"/>
      <c r="G288" s="54"/>
      <c r="H288" s="54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8">
        <f t="array" ref="W288">IF(A288&lt;&gt;"",_xlfn.IFS(A288="Grade 1",SUM(L288:T288),A288="Grade 2",SUM(L288:V288),A288="Grade 3",SUM(L288:T288)),"")</f>
      </c>
      <c r="X288" s="57"/>
    </row>
    <row r="289" ht="19.95" customHeight="1" hidden="1" spans="1:24" x14ac:dyDescent="0.25">
      <c r="A289" s="50"/>
      <c r="B289" s="51"/>
      <c r="C289" s="51"/>
      <c r="D289" s="52"/>
      <c r="E289" s="53"/>
      <c r="F289" s="54"/>
      <c r="G289" s="54"/>
      <c r="H289" s="54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8">
        <f t="array" ref="W289">IF(A289&lt;&gt;"",_xlfn.IFS(A289="Grade 1",SUM(L289:T289),A289="Grade 2",SUM(L289:V289),A289="Grade 3",SUM(L289:T289)),"")</f>
      </c>
      <c r="X289" s="57"/>
    </row>
    <row r="290" ht="19.95" customHeight="1" hidden="1" spans="1:24" x14ac:dyDescent="0.25">
      <c r="A290" s="50"/>
      <c r="B290" s="51"/>
      <c r="C290" s="51"/>
      <c r="D290" s="52"/>
      <c r="E290" s="53"/>
      <c r="F290" s="54"/>
      <c r="G290" s="54"/>
      <c r="H290" s="54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8">
        <f t="array" ref="W290">IF(A290&lt;&gt;"",_xlfn.IFS(A290="Grade 1",SUM(L290:T290),A290="Grade 2",SUM(L290:V290),A290="Grade 3",SUM(L290:T290)),"")</f>
      </c>
      <c r="X290" s="57"/>
    </row>
    <row r="291" ht="19.95" customHeight="1" hidden="1" spans="1:24" x14ac:dyDescent="0.25">
      <c r="A291" s="50"/>
      <c r="B291" s="51"/>
      <c r="C291" s="51"/>
      <c r="D291" s="52"/>
      <c r="E291" s="53"/>
      <c r="F291" s="54"/>
      <c r="G291" s="54"/>
      <c r="H291" s="54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8">
        <f t="array" ref="W291">IF(A291&lt;&gt;"",_xlfn.IFS(A291="Grade 1",SUM(L291:T291),A291="Grade 2",SUM(L291:V291),A291="Grade 3",SUM(L291:T291)),"")</f>
      </c>
      <c r="X291" s="57"/>
    </row>
    <row r="292" ht="19.95" customHeight="1" hidden="1" spans="1:24" x14ac:dyDescent="0.25">
      <c r="A292" s="50"/>
      <c r="B292" s="51"/>
      <c r="C292" s="51"/>
      <c r="D292" s="52"/>
      <c r="E292" s="53"/>
      <c r="F292" s="54"/>
      <c r="G292" s="54"/>
      <c r="H292" s="54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8">
        <f t="array" ref="W292">IF(A292&lt;&gt;"",_xlfn.IFS(A292="Grade 1",SUM(L292:T292),A292="Grade 2",SUM(L292:V292),A292="Grade 3",SUM(L292:T292)),"")</f>
      </c>
      <c r="X292" s="57"/>
    </row>
    <row r="293" ht="19.95" customHeight="1" hidden="1" spans="1:24" x14ac:dyDescent="0.25">
      <c r="A293" s="50"/>
      <c r="B293" s="51"/>
      <c r="C293" s="51"/>
      <c r="D293" s="52"/>
      <c r="E293" s="53"/>
      <c r="F293" s="54"/>
      <c r="G293" s="54"/>
      <c r="H293" s="54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8">
        <f t="array" ref="W293">IF(A293&lt;&gt;"",_xlfn.IFS(A293="Grade 1",SUM(L293:T293),A293="Grade 2",SUM(L293:V293),A293="Grade 3",SUM(L293:T293)),"")</f>
      </c>
      <c r="X293" s="57"/>
    </row>
    <row r="294" ht="19.95" customHeight="1" hidden="1" spans="1:24" x14ac:dyDescent="0.25">
      <c r="A294" s="50"/>
      <c r="B294" s="51"/>
      <c r="C294" s="51"/>
      <c r="D294" s="52"/>
      <c r="E294" s="53"/>
      <c r="F294" s="54"/>
      <c r="G294" s="54"/>
      <c r="H294" s="54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8">
        <f t="array" ref="W294">IF(A294&lt;&gt;"",_xlfn.IFS(A294="Grade 1",SUM(L294:T294),A294="Grade 2",SUM(L294:V294),A294="Grade 3",SUM(L294:T294)),"")</f>
      </c>
      <c r="X294" s="57"/>
    </row>
    <row r="295" ht="19.95" customHeight="1" hidden="1" spans="1:24" x14ac:dyDescent="0.25">
      <c r="A295" s="50"/>
      <c r="B295" s="51"/>
      <c r="C295" s="51"/>
      <c r="D295" s="52"/>
      <c r="E295" s="53"/>
      <c r="F295" s="54"/>
      <c r="G295" s="54"/>
      <c r="H295" s="54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8">
        <f t="array" ref="W295">IF(A295&lt;&gt;"",_xlfn.IFS(A295="Grade 1",SUM(L295:T295),A295="Grade 2",SUM(L295:V295),A295="Grade 3",SUM(L295:T295)),"")</f>
      </c>
      <c r="X295" s="57"/>
    </row>
    <row r="296" ht="19.95" customHeight="1" hidden="1" spans="1:24" x14ac:dyDescent="0.25">
      <c r="A296" s="50"/>
      <c r="B296" s="51"/>
      <c r="C296" s="51"/>
      <c r="D296" s="52"/>
      <c r="E296" s="53"/>
      <c r="F296" s="54"/>
      <c r="G296" s="54"/>
      <c r="H296" s="54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8">
        <f t="array" ref="W296">IF(A296&lt;&gt;"",_xlfn.IFS(A296="Grade 1",SUM(L296:T296),A296="Grade 2",SUM(L296:V296),A296="Grade 3",SUM(L296:T296)),"")</f>
      </c>
      <c r="X296" s="57"/>
    </row>
    <row r="297" ht="19.95" customHeight="1" hidden="1" spans="1:24" x14ac:dyDescent="0.25">
      <c r="A297" s="50"/>
      <c r="B297" s="51"/>
      <c r="C297" s="51"/>
      <c r="D297" s="52"/>
      <c r="E297" s="53"/>
      <c r="F297" s="54"/>
      <c r="G297" s="54"/>
      <c r="H297" s="54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8">
        <f t="array" ref="W297">IF(A297&lt;&gt;"",_xlfn.IFS(A297="Grade 1",SUM(L297:T297),A297="Grade 2",SUM(L297:V297),A297="Grade 3",SUM(L297:T297)),"")</f>
      </c>
      <c r="X297" s="57"/>
    </row>
    <row r="298" ht="19.95" customHeight="1" hidden="1" spans="1:24" x14ac:dyDescent="0.25">
      <c r="A298" s="50"/>
      <c r="B298" s="51"/>
      <c r="C298" s="51"/>
      <c r="D298" s="52"/>
      <c r="E298" s="53"/>
      <c r="F298" s="54"/>
      <c r="G298" s="54"/>
      <c r="H298" s="54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8">
        <f t="array" ref="W298">IF(A298&lt;&gt;"",_xlfn.IFS(A298="Grade 1",SUM(L298:T298),A298="Grade 2",SUM(L298:V298),A298="Grade 3",SUM(L298:T298)),"")</f>
      </c>
      <c r="X298" s="57"/>
    </row>
    <row r="299" ht="19.95" customHeight="1" hidden="1" spans="1:24" x14ac:dyDescent="0.25">
      <c r="A299" s="50"/>
      <c r="B299" s="51"/>
      <c r="C299" s="51"/>
      <c r="D299" s="52"/>
      <c r="E299" s="53"/>
      <c r="F299" s="54"/>
      <c r="G299" s="54"/>
      <c r="H299" s="54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8">
        <f t="array" ref="W299">IF(A299&lt;&gt;"",_xlfn.IFS(A299="Grade 1",SUM(L299:T299),A299="Grade 2",SUM(L299:V299),A299="Grade 3",SUM(L299:T299)),"")</f>
      </c>
      <c r="X299" s="57"/>
    </row>
    <row r="300" ht="19.95" customHeight="1" hidden="1" spans="1:24" x14ac:dyDescent="0.25">
      <c r="A300" s="50"/>
      <c r="B300" s="51"/>
      <c r="C300" s="51"/>
      <c r="D300" s="52"/>
      <c r="E300" s="53"/>
      <c r="F300" s="54"/>
      <c r="G300" s="54"/>
      <c r="H300" s="54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8">
        <f t="array" ref="W300">IF(A300&lt;&gt;"",_xlfn.IFS(A300="Grade 1",SUM(L300:T300),A300="Grade 2",SUM(L300:V300),A300="Grade 3",SUM(L300:T300)),"")</f>
      </c>
      <c r="X300" s="57"/>
    </row>
    <row r="301" ht="19.95" customHeight="1" hidden="1" spans="1:24" x14ac:dyDescent="0.25">
      <c r="A301" s="50"/>
      <c r="B301" s="51"/>
      <c r="C301" s="51"/>
      <c r="D301" s="52"/>
      <c r="E301" s="53"/>
      <c r="F301" s="54"/>
      <c r="G301" s="54"/>
      <c r="H301" s="54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8">
        <f t="array" ref="W301">IF(A301&lt;&gt;"",_xlfn.IFS(A301="Grade 1",SUM(L301:T301),A301="Grade 2",SUM(L301:V301),A301="Grade 3",SUM(L301:T301)),"")</f>
      </c>
      <c r="X301" s="57"/>
    </row>
    <row r="302" ht="19.95" customHeight="1" hidden="1" spans="1:24" x14ac:dyDescent="0.25">
      <c r="A302" s="50"/>
      <c r="B302" s="51"/>
      <c r="C302" s="51"/>
      <c r="D302" s="52"/>
      <c r="E302" s="53"/>
      <c r="F302" s="54"/>
      <c r="G302" s="54"/>
      <c r="H302" s="54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8">
        <f t="array" ref="W302">IF(A302&lt;&gt;"",_xlfn.IFS(A302="Grade 1",SUM(L302:T302),A302="Grade 2",SUM(L302:V302),A302="Grade 3",SUM(L302:T302)),"")</f>
      </c>
      <c r="X302" s="57"/>
    </row>
    <row r="303" ht="19.95" customHeight="1" hidden="1" spans="1:24" x14ac:dyDescent="0.25">
      <c r="A303" s="50"/>
      <c r="B303" s="51"/>
      <c r="C303" s="51"/>
      <c r="D303" s="52"/>
      <c r="E303" s="53"/>
      <c r="F303" s="54"/>
      <c r="G303" s="54"/>
      <c r="H303" s="54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8">
        <f t="array" ref="W303">IF(A303&lt;&gt;"",_xlfn.IFS(A303="Grade 1",SUM(L303:T303),A303="Grade 2",SUM(L303:V303),A303="Grade 3",SUM(L303:T303)),"")</f>
      </c>
      <c r="X303" s="57"/>
    </row>
    <row r="304" ht="19.95" customHeight="1" hidden="1" spans="1:24" x14ac:dyDescent="0.25">
      <c r="A304" s="50"/>
      <c r="B304" s="51"/>
      <c r="C304" s="51"/>
      <c r="D304" s="52"/>
      <c r="E304" s="53"/>
      <c r="F304" s="54"/>
      <c r="G304" s="54"/>
      <c r="H304" s="54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8">
        <f t="array" ref="W304">IF(A304&lt;&gt;"",_xlfn.IFS(A304="Grade 1",SUM(L304:T304),A304="Grade 2",SUM(L304:V304),A304="Grade 3",SUM(L304:T304)),"")</f>
      </c>
      <c r="X304" s="57"/>
    </row>
    <row r="305" ht="19.95" customHeight="1" hidden="1" spans="1:24" x14ac:dyDescent="0.25">
      <c r="A305" s="50"/>
      <c r="B305" s="51"/>
      <c r="C305" s="51"/>
      <c r="D305" s="52"/>
      <c r="E305" s="53"/>
      <c r="F305" s="54"/>
      <c r="G305" s="54"/>
      <c r="H305" s="54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8">
        <f t="array" ref="W305">IF(A305&lt;&gt;"",_xlfn.IFS(A305="Grade 1",SUM(L305:T305),A305="Grade 2",SUM(L305:V305),A305="Grade 3",SUM(L305:T305)),"")</f>
      </c>
      <c r="X305" s="57"/>
    </row>
    <row r="306" ht="19.95" customHeight="1" hidden="1" spans="1:24" x14ac:dyDescent="0.25">
      <c r="A306" s="50"/>
      <c r="B306" s="51"/>
      <c r="C306" s="51"/>
      <c r="D306" s="52"/>
      <c r="E306" s="53"/>
      <c r="F306" s="54"/>
      <c r="G306" s="54"/>
      <c r="H306" s="54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8">
        <f t="array" ref="W306">IF(A306&lt;&gt;"",_xlfn.IFS(A306="Grade 1",SUM(L306:T306),A306="Grade 2",SUM(L306:V306),A306="Grade 3",SUM(L306:T306)),"")</f>
      </c>
      <c r="X306" s="57"/>
    </row>
    <row r="307" ht="19.95" customHeight="1" hidden="1" spans="1:24" x14ac:dyDescent="0.25">
      <c r="A307" s="50"/>
      <c r="B307" s="51"/>
      <c r="C307" s="51"/>
      <c r="D307" s="52"/>
      <c r="E307" s="53"/>
      <c r="F307" s="54"/>
      <c r="G307" s="54"/>
      <c r="H307" s="54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8">
        <f t="array" ref="W307">IF(A307&lt;&gt;"",_xlfn.IFS(A307="Grade 1",SUM(L307:T307),A307="Grade 2",SUM(L307:V307),A307="Grade 3",SUM(L307:T307)),"")</f>
      </c>
      <c r="X307" s="57"/>
    </row>
    <row r="308" ht="19.95" customHeight="1" hidden="1" spans="1:24" x14ac:dyDescent="0.25">
      <c r="A308" s="50"/>
      <c r="B308" s="51"/>
      <c r="C308" s="51"/>
      <c r="D308" s="52"/>
      <c r="E308" s="53"/>
      <c r="F308" s="54"/>
      <c r="G308" s="54"/>
      <c r="H308" s="54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8">
        <f t="array" ref="W308">IF(A308&lt;&gt;"",_xlfn.IFS(A308="Grade 1",SUM(L308:T308),A308="Grade 2",SUM(L308:V308),A308="Grade 3",SUM(L308:T308)),"")</f>
      </c>
      <c r="X308" s="57"/>
    </row>
    <row r="309" ht="19.95" customHeight="1" hidden="1" spans="1:24" x14ac:dyDescent="0.25">
      <c r="A309" s="50"/>
      <c r="B309" s="51"/>
      <c r="C309" s="51"/>
      <c r="D309" s="52"/>
      <c r="E309" s="53"/>
      <c r="F309" s="54"/>
      <c r="G309" s="54"/>
      <c r="H309" s="54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8">
        <f t="array" ref="W309">IF(A309&lt;&gt;"",_xlfn.IFS(A309="Grade 1",SUM(L309:T309),A309="Grade 2",SUM(L309:V309),A309="Grade 3",SUM(L309:T309)),"")</f>
      </c>
      <c r="X309" s="57"/>
    </row>
    <row r="310" ht="19.95" customHeight="1" hidden="1" spans="1:24" x14ac:dyDescent="0.25">
      <c r="A310" s="50"/>
      <c r="B310" s="51"/>
      <c r="C310" s="51"/>
      <c r="D310" s="52"/>
      <c r="E310" s="53"/>
      <c r="F310" s="54"/>
      <c r="G310" s="54"/>
      <c r="H310" s="54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8">
        <f t="array" ref="W310">IF(A310&lt;&gt;"",_xlfn.IFS(A310="Grade 1",SUM(L310:T310),A310="Grade 2",SUM(L310:V310),A310="Grade 3",SUM(L310:T310)),"")</f>
      </c>
      <c r="X310" s="57"/>
    </row>
    <row r="311" ht="19.95" customHeight="1" hidden="1" spans="1:24" x14ac:dyDescent="0.25">
      <c r="A311" s="50"/>
      <c r="B311" s="51"/>
      <c r="C311" s="51"/>
      <c r="D311" s="52"/>
      <c r="E311" s="53"/>
      <c r="F311" s="54"/>
      <c r="G311" s="54"/>
      <c r="H311" s="54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8">
        <f t="array" ref="W311">IF(A311&lt;&gt;"",_xlfn.IFS(A311="Grade 1",SUM(L311:T311),A311="Grade 2",SUM(L311:V311),A311="Grade 3",SUM(L311:T311)),"")</f>
      </c>
      <c r="X311" s="57"/>
    </row>
    <row r="312" ht="19.95" customHeight="1" hidden="1" spans="1:24" x14ac:dyDescent="0.25">
      <c r="A312" s="50"/>
      <c r="B312" s="51"/>
      <c r="C312" s="51"/>
      <c r="D312" s="52"/>
      <c r="E312" s="53"/>
      <c r="F312" s="54"/>
      <c r="G312" s="54"/>
      <c r="H312" s="54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8">
        <f t="array" ref="W312">IF(A312&lt;&gt;"",_xlfn.IFS(A312="Grade 1",SUM(L312:T312),A312="Grade 2",SUM(L312:V312),A312="Grade 3",SUM(L312:T312)),"")</f>
      </c>
      <c r="X312" s="57"/>
    </row>
    <row r="313" ht="19.95" customHeight="1" hidden="1" spans="1:24" x14ac:dyDescent="0.25">
      <c r="A313" s="50"/>
      <c r="B313" s="51"/>
      <c r="C313" s="51"/>
      <c r="D313" s="52"/>
      <c r="E313" s="53"/>
      <c r="F313" s="54"/>
      <c r="G313" s="54"/>
      <c r="H313" s="54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8">
        <f t="array" ref="W313">IF(A313&lt;&gt;"",_xlfn.IFS(A313="Grade 1",SUM(L313:T313),A313="Grade 2",SUM(L313:V313),A313="Grade 3",SUM(L313:T313)),"")</f>
      </c>
      <c r="X313" s="57"/>
    </row>
    <row r="314" ht="19.95" customHeight="1" hidden="1" spans="1:24" x14ac:dyDescent="0.25">
      <c r="A314" s="50"/>
      <c r="B314" s="51"/>
      <c r="C314" s="51"/>
      <c r="D314" s="52"/>
      <c r="E314" s="53"/>
      <c r="F314" s="54"/>
      <c r="G314" s="54"/>
      <c r="H314" s="54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8">
        <f t="array" ref="W314">IF(A314&lt;&gt;"",_xlfn.IFS(A314="Grade 1",SUM(L314:T314),A314="Grade 2",SUM(L314:V314),A314="Grade 3",SUM(L314:T314)),"")</f>
      </c>
      <c r="X314" s="57"/>
    </row>
    <row r="315" ht="19.95" customHeight="1" hidden="1" spans="1:24" x14ac:dyDescent="0.25">
      <c r="A315" s="50"/>
      <c r="B315" s="51"/>
      <c r="C315" s="51"/>
      <c r="D315" s="52"/>
      <c r="E315" s="53"/>
      <c r="F315" s="54"/>
      <c r="G315" s="54"/>
      <c r="H315" s="54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8">
        <f t="array" ref="W315">IF(A315&lt;&gt;"",_xlfn.IFS(A315="Grade 1",SUM(L315:T315),A315="Grade 2",SUM(L315:V315),A315="Grade 3",SUM(L315:T315)),"")</f>
      </c>
      <c r="X315" s="57" t="str">
        <f t="shared" ref="X315:X346" si="6">IF(ISBLANK(A315)," ",IF(SUM(I315:K315)=E315,"Data Validated","Data with Error"))</f>
        <v> </v>
      </c>
    </row>
    <row r="316" ht="19.95" customHeight="1" hidden="1" spans="1:24" x14ac:dyDescent="0.25">
      <c r="A316" s="50"/>
      <c r="B316" s="51"/>
      <c r="C316" s="51"/>
      <c r="D316" s="52"/>
      <c r="E316" s="53"/>
      <c r="F316" s="54"/>
      <c r="G316" s="54"/>
      <c r="H316" s="54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8">
        <f t="array" ref="W316">IF(A316&lt;&gt;"",_xlfn.IFS(A316="Grade 1",SUM(L316:T316),A316="Grade 2",SUM(L316:V316),A316="Grade 3",SUM(L316:T316)),"")</f>
      </c>
      <c r="X316" s="57"/>
    </row>
    <row r="317" ht="19.95" customHeight="1" hidden="1" spans="1:24" x14ac:dyDescent="0.25">
      <c r="A317" s="50"/>
      <c r="B317" s="51"/>
      <c r="C317" s="51"/>
      <c r="D317" s="52"/>
      <c r="E317" s="53"/>
      <c r="F317" s="54"/>
      <c r="G317" s="54"/>
      <c r="H317" s="54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8">
        <f t="array" ref="W317">IF(A317&lt;&gt;"",_xlfn.IFS(A317="Grade 1",SUM(L317:T317),A317="Grade 2",SUM(L317:V317),A317="Grade 3",SUM(L317:T317)),"")</f>
      </c>
      <c r="X317" s="57"/>
    </row>
    <row r="318" ht="19.95" customHeight="1" hidden="1" spans="1:24" x14ac:dyDescent="0.25">
      <c r="A318" s="50"/>
      <c r="B318" s="51"/>
      <c r="C318" s="51"/>
      <c r="D318" s="52"/>
      <c r="E318" s="53"/>
      <c r="F318" s="54"/>
      <c r="G318" s="54"/>
      <c r="H318" s="54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8">
        <f t="array" ref="W318">IF(A318&lt;&gt;"",_xlfn.IFS(A318="Grade 1",SUM(L318:T318),A318="Grade 2",SUM(L318:V318),A318="Grade 3",SUM(L318:T318)),"")</f>
      </c>
      <c r="X318" s="57"/>
    </row>
    <row r="319" ht="19.95" customHeight="1" hidden="1" spans="1:24" x14ac:dyDescent="0.25">
      <c r="A319" s="50"/>
      <c r="B319" s="51"/>
      <c r="C319" s="51"/>
      <c r="D319" s="52"/>
      <c r="E319" s="53"/>
      <c r="F319" s="54"/>
      <c r="G319" s="54"/>
      <c r="H319" s="54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8">
        <f t="array" ref="W319">IF(A319&lt;&gt;"",_xlfn.IFS(A319="Grade 1",SUM(L319:T319),A319="Grade 2",SUM(L319:V319),A319="Grade 3",SUM(L319:T319)),"")</f>
      </c>
      <c r="X319" s="57"/>
    </row>
    <row r="320" ht="19.95" customHeight="1" hidden="1" spans="1:24" x14ac:dyDescent="0.25">
      <c r="A320" s="50"/>
      <c r="B320" s="51"/>
      <c r="C320" s="51"/>
      <c r="D320" s="52"/>
      <c r="E320" s="53"/>
      <c r="F320" s="54"/>
      <c r="G320" s="54"/>
      <c r="H320" s="54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8">
        <f t="array" ref="W320">IF(A320&lt;&gt;"",_xlfn.IFS(A320="Grade 1",SUM(L320:T320),A320="Grade 2",SUM(L320:V320),A320="Grade 3",SUM(L320:T320)),"")</f>
      </c>
      <c r="X320" s="57"/>
    </row>
    <row r="321" ht="19.95" customHeight="1" hidden="1" spans="1:24" x14ac:dyDescent="0.25">
      <c r="A321" s="50"/>
      <c r="B321" s="51"/>
      <c r="C321" s="51"/>
      <c r="D321" s="52"/>
      <c r="E321" s="53"/>
      <c r="F321" s="54"/>
      <c r="G321" s="54"/>
      <c r="H321" s="54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8">
        <f t="array" ref="W321">IF(A321&lt;&gt;"",_xlfn.IFS(A321="Grade 1",SUM(L321:T321),A321="Grade 2",SUM(L321:V321),A321="Grade 3",SUM(L321:T321)),"")</f>
      </c>
      <c r="X321" s="57"/>
    </row>
    <row r="322" ht="19.95" customHeight="1" hidden="1" spans="1:24" x14ac:dyDescent="0.25">
      <c r="A322" s="50"/>
      <c r="B322" s="51"/>
      <c r="C322" s="51"/>
      <c r="D322" s="52"/>
      <c r="E322" s="53"/>
      <c r="F322" s="54"/>
      <c r="G322" s="54"/>
      <c r="H322" s="54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8">
        <f t="array" ref="W322">IF(A322&lt;&gt;"",_xlfn.IFS(A322="Grade 1",SUM(L322:T322),A322="Grade 2",SUM(L322:V322),A322="Grade 3",SUM(L322:T322)),"")</f>
      </c>
      <c r="X322" s="57"/>
    </row>
    <row r="323" ht="19.95" customHeight="1" hidden="1" spans="1:24" x14ac:dyDescent="0.25">
      <c r="A323" s="50"/>
      <c r="B323" s="51"/>
      <c r="C323" s="51"/>
      <c r="D323" s="52"/>
      <c r="E323" s="53"/>
      <c r="F323" s="54"/>
      <c r="G323" s="54"/>
      <c r="H323" s="54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8">
        <f t="array" ref="W323">IF(A323&lt;&gt;"",_xlfn.IFS(A323="Grade 1",SUM(L323:T323),A323="Grade 2",SUM(L323:V323),A323="Grade 3",SUM(L323:T323)),"")</f>
      </c>
      <c r="X323" s="57"/>
    </row>
    <row r="324" ht="19.95" customHeight="1" hidden="1" spans="1:24" x14ac:dyDescent="0.25">
      <c r="A324" s="50"/>
      <c r="B324" s="51"/>
      <c r="C324" s="51"/>
      <c r="D324" s="52"/>
      <c r="E324" s="53"/>
      <c r="F324" s="54"/>
      <c r="G324" s="54"/>
      <c r="H324" s="54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8">
        <f t="array" ref="W324">IF(A324&lt;&gt;"",_xlfn.IFS(A324="Grade 1",SUM(L324:T324),A324="Grade 2",SUM(L324:V324),A324="Grade 3",SUM(L324:T324)),"")</f>
      </c>
      <c r="X324" s="57"/>
    </row>
    <row r="325" ht="19.95" customHeight="1" hidden="1" spans="1:24" x14ac:dyDescent="0.25">
      <c r="A325" s="50"/>
      <c r="B325" s="51"/>
      <c r="C325" s="51"/>
      <c r="D325" s="52"/>
      <c r="E325" s="53"/>
      <c r="F325" s="54"/>
      <c r="G325" s="54"/>
      <c r="H325" s="54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8">
        <f t="array" ref="W325">IF(A325&lt;&gt;"",_xlfn.IFS(A325="Grade 1",SUM(L325:T325),A325="Grade 2",SUM(L325:V325),A325="Grade 3",SUM(L325:T325)),"")</f>
      </c>
      <c r="X325" s="57"/>
    </row>
    <row r="326" ht="19.95" customHeight="1" hidden="1" spans="1:24" x14ac:dyDescent="0.25">
      <c r="A326" s="50"/>
      <c r="B326" s="51"/>
      <c r="C326" s="51"/>
      <c r="D326" s="52"/>
      <c r="E326" s="53"/>
      <c r="F326" s="54"/>
      <c r="G326" s="54"/>
      <c r="H326" s="54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8">
        <f t="array" ref="W326">IF(A326&lt;&gt;"",_xlfn.IFS(A326="Grade 1",SUM(L326:T326),A326="Grade 2",SUM(L326:V326),A326="Grade 3",SUM(L326:T326)),"")</f>
      </c>
      <c r="X326" s="57"/>
    </row>
    <row r="327" ht="19.95" customHeight="1" hidden="1" spans="1:24" x14ac:dyDescent="0.25">
      <c r="A327" s="50"/>
      <c r="B327" s="51"/>
      <c r="C327" s="51"/>
      <c r="D327" s="52"/>
      <c r="E327" s="53"/>
      <c r="F327" s="54"/>
      <c r="G327" s="54"/>
      <c r="H327" s="54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8">
        <f t="array" ref="W327">IF(A327&lt;&gt;"",_xlfn.IFS(A327="Grade 1",SUM(L327:T327),A327="Grade 2",SUM(L327:V327),A327="Grade 3",SUM(L327:T327)),"")</f>
      </c>
      <c r="X327" s="57"/>
    </row>
    <row r="328" ht="19.95" customHeight="1" hidden="1" spans="1:24" x14ac:dyDescent="0.25">
      <c r="A328" s="50"/>
      <c r="B328" s="51"/>
      <c r="C328" s="51"/>
      <c r="D328" s="52"/>
      <c r="E328" s="53"/>
      <c r="F328" s="54"/>
      <c r="G328" s="54"/>
      <c r="H328" s="54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8">
        <f t="array" ref="W328">IF(A328&lt;&gt;"",_xlfn.IFS(A328="Grade 1",SUM(L328:T328),A328="Grade 2",SUM(L328:V328),A328="Grade 3",SUM(L328:T328)),"")</f>
      </c>
      <c r="X328" s="57"/>
    </row>
    <row r="329" ht="19.95" customHeight="1" hidden="1" spans="1:24" x14ac:dyDescent="0.25">
      <c r="A329" s="50"/>
      <c r="B329" s="51"/>
      <c r="C329" s="51"/>
      <c r="D329" s="52"/>
      <c r="E329" s="53"/>
      <c r="F329" s="54"/>
      <c r="G329" s="54"/>
      <c r="H329" s="54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8">
        <f t="array" ref="W329">IF(A329&lt;&gt;"",_xlfn.IFS(A329="Grade 1",SUM(L329:T329),A329="Grade 2",SUM(L329:V329),A329="Grade 3",SUM(L329:T329)),"")</f>
      </c>
      <c r="X329" s="57"/>
    </row>
    <row r="330" ht="19.95" customHeight="1" hidden="1" spans="1:24" x14ac:dyDescent="0.25">
      <c r="A330" s="50"/>
      <c r="B330" s="51"/>
      <c r="C330" s="51"/>
      <c r="D330" s="52"/>
      <c r="E330" s="53"/>
      <c r="F330" s="54"/>
      <c r="G330" s="54"/>
      <c r="H330" s="54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8">
        <f t="array" ref="W330">IF(A330&lt;&gt;"",_xlfn.IFS(A330="Grade 1",SUM(L330:T330),A330="Grade 2",SUM(L330:V330),A330="Grade 3",SUM(L330:T330)),"")</f>
      </c>
      <c r="X330" s="57"/>
    </row>
    <row r="331" ht="19.95" customHeight="1" hidden="1" spans="1:24" x14ac:dyDescent="0.25">
      <c r="A331" s="50"/>
      <c r="B331" s="51"/>
      <c r="C331" s="51"/>
      <c r="D331" s="52"/>
      <c r="E331" s="53"/>
      <c r="F331" s="54"/>
      <c r="G331" s="54"/>
      <c r="H331" s="54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8">
        <f t="array" ref="W331">IF(A331&lt;&gt;"",_xlfn.IFS(A331="Grade 1",SUM(L331:T331),A331="Grade 2",SUM(L331:V331),A331="Grade 3",SUM(L331:T331)),"")</f>
      </c>
      <c r="X331" s="57"/>
    </row>
    <row r="332" ht="19.95" customHeight="1" hidden="1" spans="1:24" x14ac:dyDescent="0.25">
      <c r="A332" s="50"/>
      <c r="B332" s="51"/>
      <c r="C332" s="51"/>
      <c r="D332" s="52"/>
      <c r="E332" s="53"/>
      <c r="F332" s="54"/>
      <c r="G332" s="54"/>
      <c r="H332" s="54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8">
        <f t="array" ref="W332">IF(A332&lt;&gt;"",_xlfn.IFS(A332="Grade 1",SUM(L332:T332),A332="Grade 2",SUM(L332:V332),A332="Grade 3",SUM(L332:T332)),"")</f>
      </c>
      <c r="X332" s="57"/>
    </row>
    <row r="333" ht="19.95" customHeight="1" hidden="1" spans="1:24" x14ac:dyDescent="0.25">
      <c r="A333" s="50"/>
      <c r="B333" s="51"/>
      <c r="C333" s="51"/>
      <c r="D333" s="52"/>
      <c r="E333" s="53"/>
      <c r="F333" s="54"/>
      <c r="G333" s="54"/>
      <c r="H333" s="54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8">
        <f t="array" ref="W333">IF(A333&lt;&gt;"",_xlfn.IFS(A333="Grade 1",SUM(L333:T333),A333="Grade 2",SUM(L333:V333),A333="Grade 3",SUM(L333:T333)),"")</f>
      </c>
      <c r="X333" s="57"/>
    </row>
    <row r="334" ht="19.95" customHeight="1" hidden="1" spans="1:24" x14ac:dyDescent="0.25">
      <c r="A334" s="50"/>
      <c r="B334" s="51"/>
      <c r="C334" s="51"/>
      <c r="D334" s="52"/>
      <c r="E334" s="53"/>
      <c r="F334" s="54"/>
      <c r="G334" s="54"/>
      <c r="H334" s="54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8">
        <f t="array" ref="W334">IF(A334&lt;&gt;"",_xlfn.IFS(A334="Grade 1",SUM(L334:T334),A334="Grade 2",SUM(L334:V334),A334="Grade 3",SUM(L334:T334)),"")</f>
      </c>
      <c r="X334" s="57"/>
    </row>
    <row r="335" ht="19.95" customHeight="1" hidden="1" spans="1:24" x14ac:dyDescent="0.25">
      <c r="A335" s="50"/>
      <c r="B335" s="51"/>
      <c r="C335" s="51"/>
      <c r="D335" s="52"/>
      <c r="E335" s="53"/>
      <c r="F335" s="54"/>
      <c r="G335" s="54"/>
      <c r="H335" s="54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8">
        <f t="array" ref="W335">IF(A335&lt;&gt;"",_xlfn.IFS(A335="Grade 1",SUM(L335:T335),A335="Grade 2",SUM(L335:V335),A335="Grade 3",SUM(L335:T335)),"")</f>
      </c>
      <c r="X335" s="57"/>
    </row>
    <row r="336" ht="19.95" customHeight="1" hidden="1" spans="1:24" x14ac:dyDescent="0.25">
      <c r="A336" s="50"/>
      <c r="B336" s="51"/>
      <c r="C336" s="51"/>
      <c r="D336" s="52"/>
      <c r="E336" s="53"/>
      <c r="F336" s="54"/>
      <c r="G336" s="54"/>
      <c r="H336" s="54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8">
        <f t="array" ref="W336">IF(A336&lt;&gt;"",_xlfn.IFS(A336="Grade 1",SUM(L336:T336),A336="Grade 2",SUM(L336:V336),A336="Grade 3",SUM(L336:T336)),"")</f>
      </c>
      <c r="X336" s="57"/>
    </row>
    <row r="337" ht="19.95" customHeight="1" hidden="1" spans="1:24" x14ac:dyDescent="0.25">
      <c r="A337" s="50"/>
      <c r="B337" s="51"/>
      <c r="C337" s="51"/>
      <c r="D337" s="52"/>
      <c r="E337" s="53"/>
      <c r="F337" s="54"/>
      <c r="G337" s="54"/>
      <c r="H337" s="54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8">
        <f t="array" ref="W337">IF(A337&lt;&gt;"",_xlfn.IFS(A337="Grade 1",SUM(L337:T337),A337="Grade 2",SUM(L337:V337),A337="Grade 3",SUM(L337:T337)),"")</f>
      </c>
      <c r="X337" s="57"/>
    </row>
    <row r="338" ht="19.95" customHeight="1" hidden="1" spans="1:24" x14ac:dyDescent="0.25">
      <c r="A338" s="50"/>
      <c r="B338" s="51"/>
      <c r="C338" s="51"/>
      <c r="D338" s="52"/>
      <c r="E338" s="53"/>
      <c r="F338" s="54"/>
      <c r="G338" s="54"/>
      <c r="H338" s="54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8">
        <f t="array" ref="W338">IF(A338&lt;&gt;"",_xlfn.IFS(A338="Grade 1",SUM(L338:T338),A338="Grade 2",SUM(L338:V338),A338="Grade 3",SUM(L338:T338)),"")</f>
      </c>
      <c r="X338" s="57"/>
    </row>
    <row r="339" ht="19.95" customHeight="1" hidden="1" spans="1:24" x14ac:dyDescent="0.25">
      <c r="A339" s="50"/>
      <c r="B339" s="51"/>
      <c r="C339" s="51"/>
      <c r="D339" s="52"/>
      <c r="E339" s="53"/>
      <c r="F339" s="54"/>
      <c r="G339" s="54"/>
      <c r="H339" s="54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8">
        <f t="array" ref="W339">IF(A339&lt;&gt;"",_xlfn.IFS(A339="Grade 1",SUM(L339:T339),A339="Grade 2",SUM(L339:V339),A339="Grade 3",SUM(L339:T339)),"")</f>
      </c>
      <c r="X339" s="57"/>
    </row>
    <row r="340" ht="19.95" customHeight="1" hidden="1" spans="1:24" x14ac:dyDescent="0.25">
      <c r="A340" s="50"/>
      <c r="B340" s="51"/>
      <c r="C340" s="51"/>
      <c r="D340" s="52"/>
      <c r="E340" s="53"/>
      <c r="F340" s="54"/>
      <c r="G340" s="54"/>
      <c r="H340" s="54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8">
        <f t="array" ref="W340">IF(A340&lt;&gt;"",_xlfn.IFS(A340="Grade 1",SUM(L340:T340),A340="Grade 2",SUM(L340:V340),A340="Grade 3",SUM(L340:T340)),"")</f>
      </c>
      <c r="X340" s="57"/>
    </row>
    <row r="341" ht="19.95" customHeight="1" hidden="1" spans="1:24" x14ac:dyDescent="0.25">
      <c r="A341" s="50"/>
      <c r="B341" s="51"/>
      <c r="C341" s="51"/>
      <c r="D341" s="52"/>
      <c r="E341" s="53"/>
      <c r="F341" s="54"/>
      <c r="G341" s="54"/>
      <c r="H341" s="54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8">
        <f t="array" ref="W341">IF(A341&lt;&gt;"",_xlfn.IFS(A341="Grade 1",SUM(L341:T341),A341="Grade 2",SUM(L341:V341),A341="Grade 3",SUM(L341:T341)),"")</f>
      </c>
      <c r="X341" s="57"/>
    </row>
    <row r="342" ht="19.95" customHeight="1" hidden="1" spans="1:24" x14ac:dyDescent="0.25">
      <c r="A342" s="50"/>
      <c r="B342" s="51"/>
      <c r="C342" s="51"/>
      <c r="D342" s="52"/>
      <c r="E342" s="53"/>
      <c r="F342" s="54"/>
      <c r="G342" s="54"/>
      <c r="H342" s="54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8">
        <f t="array" ref="W342">IF(A342&lt;&gt;"",_xlfn.IFS(A342="Grade 1",SUM(L342:T342),A342="Grade 2",SUM(L342:V342),A342="Grade 3",SUM(L342:T342)),"")</f>
      </c>
      <c r="X342" s="57"/>
    </row>
    <row r="343" ht="19.95" customHeight="1" hidden="1" spans="1:24" x14ac:dyDescent="0.25">
      <c r="A343" s="50"/>
      <c r="B343" s="51"/>
      <c r="C343" s="51"/>
      <c r="D343" s="52"/>
      <c r="E343" s="53"/>
      <c r="F343" s="54"/>
      <c r="G343" s="54"/>
      <c r="H343" s="54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8">
        <f t="array" ref="W343">IF(A343&lt;&gt;"",_xlfn.IFS(A343="Grade 1",SUM(L343:T343),A343="Grade 2",SUM(L343:V343),A343="Grade 3",SUM(L343:T343)),"")</f>
      </c>
      <c r="X343" s="57"/>
    </row>
    <row r="344" ht="19.95" customHeight="1" hidden="1" spans="1:24" x14ac:dyDescent="0.25">
      <c r="A344" s="50"/>
      <c r="B344" s="51"/>
      <c r="C344" s="51"/>
      <c r="D344" s="52"/>
      <c r="E344" s="53"/>
      <c r="F344" s="54"/>
      <c r="G344" s="54"/>
      <c r="H344" s="54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8">
        <f t="array" ref="W344">IF(A344&lt;&gt;"",_xlfn.IFS(A344="Grade 1",SUM(L344:T344),A344="Grade 2",SUM(L344:V344),A344="Grade 3",SUM(L344:T344)),"")</f>
      </c>
      <c r="X344" s="57"/>
    </row>
    <row r="345" ht="19.95" customHeight="1" hidden="1" spans="1:24" x14ac:dyDescent="0.25">
      <c r="A345" s="50"/>
      <c r="B345" s="51"/>
      <c r="C345" s="51"/>
      <c r="D345" s="52"/>
      <c r="E345" s="53"/>
      <c r="F345" s="54"/>
      <c r="G345" s="54"/>
      <c r="H345" s="54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8">
        <f t="array" ref="W345">IF(A345&lt;&gt;"",_xlfn.IFS(A345="Grade 1",SUM(L345:T345),A345="Grade 2",SUM(L345:V345),A345="Grade 3",SUM(L345:T345)),"")</f>
      </c>
      <c r="X345" s="57"/>
    </row>
    <row r="346" ht="19.95" customHeight="1" hidden="1" spans="1:24" x14ac:dyDescent="0.25">
      <c r="A346" s="50"/>
      <c r="B346" s="51"/>
      <c r="C346" s="51"/>
      <c r="D346" s="52"/>
      <c r="E346" s="53"/>
      <c r="F346" s="54"/>
      <c r="G346" s="54"/>
      <c r="H346" s="54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8">
        <f t="array" ref="W346">IF(A346&lt;&gt;"",_xlfn.IFS(A346="Grade 1",SUM(L346:T346),A346="Grade 2",SUM(L346:V346),A346="Grade 3",SUM(L346:T346)),"")</f>
      </c>
      <c r="X346" s="57"/>
    </row>
    <row r="347" ht="19.95" customHeight="1" hidden="1" spans="1:24" x14ac:dyDescent="0.25">
      <c r="A347" s="50"/>
      <c r="B347" s="51"/>
      <c r="C347" s="51"/>
      <c r="D347" s="52"/>
      <c r="E347" s="53"/>
      <c r="F347" s="54"/>
      <c r="G347" s="54"/>
      <c r="H347" s="54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8">
        <f t="array" ref="W347">IF(A347&lt;&gt;"",_xlfn.IFS(A347="Grade 1",SUM(L347:T347),A347="Grade 2",SUM(L347:V347),A347="Grade 3",SUM(L347:T347)),"")</f>
      </c>
      <c r="X347" s="57" t="str">
        <f t="shared" ref="X347:X362" si="7">IF(ISBLANK(A347)," ",IF(SUM(I347:K347)=E347,"Data Validated","Data with Error"))</f>
        <v> </v>
      </c>
    </row>
    <row r="348" ht="19.95" customHeight="1" hidden="1" spans="1:24" x14ac:dyDescent="0.25">
      <c r="A348" s="50"/>
      <c r="B348" s="51"/>
      <c r="C348" s="51"/>
      <c r="D348" s="52"/>
      <c r="E348" s="53"/>
      <c r="F348" s="54"/>
      <c r="G348" s="54"/>
      <c r="H348" s="54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8">
        <f t="array" ref="W348">IF(A348&lt;&gt;"",_xlfn.IFS(A348="Grade 1",SUM(L348:T348),A348="Grade 2",SUM(L348:V348),A348="Grade 3",SUM(L348:T348)),"")</f>
      </c>
      <c r="X348" s="57"/>
    </row>
    <row r="349" ht="19.95" customHeight="1" hidden="1" spans="1:24" x14ac:dyDescent="0.25">
      <c r="A349" s="50"/>
      <c r="B349" s="51"/>
      <c r="C349" s="51"/>
      <c r="D349" s="52"/>
      <c r="E349" s="53"/>
      <c r="F349" s="54"/>
      <c r="G349" s="54"/>
      <c r="H349" s="54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8">
        <f t="array" ref="W349">IF(A349&lt;&gt;"",_xlfn.IFS(A349="Grade 1",SUM(L349:T349),A349="Grade 2",SUM(L349:V349),A349="Grade 3",SUM(L349:T349)),"")</f>
      </c>
      <c r="X349" s="57"/>
    </row>
    <row r="350" ht="19.95" customHeight="1" hidden="1" spans="1:24" x14ac:dyDescent="0.25">
      <c r="A350" s="50"/>
      <c r="B350" s="51"/>
      <c r="C350" s="51"/>
      <c r="D350" s="52"/>
      <c r="E350" s="53"/>
      <c r="F350" s="54"/>
      <c r="G350" s="54"/>
      <c r="H350" s="54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8">
        <f t="array" ref="W350">IF(A350&lt;&gt;"",_xlfn.IFS(A350="Grade 1",SUM(L350:T350),A350="Grade 2",SUM(L350:V350),A350="Grade 3",SUM(L350:T350)),"")</f>
      </c>
      <c r="X350" s="57"/>
    </row>
    <row r="351" ht="19.95" customHeight="1" hidden="1" spans="1:24" x14ac:dyDescent="0.25">
      <c r="A351" s="50"/>
      <c r="B351" s="51"/>
      <c r="C351" s="51"/>
      <c r="D351" s="52"/>
      <c r="E351" s="53"/>
      <c r="F351" s="54"/>
      <c r="G351" s="54"/>
      <c r="H351" s="54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8">
        <f t="array" ref="W351">IF(A351&lt;&gt;"",_xlfn.IFS(A351="Grade 1",SUM(L351:T351),A351="Grade 2",SUM(L351:V351),A351="Grade 3",SUM(L351:T351)),"")</f>
      </c>
      <c r="X351" s="57"/>
    </row>
    <row r="352" ht="19.95" customHeight="1" hidden="1" spans="1:24" x14ac:dyDescent="0.25">
      <c r="A352" s="50"/>
      <c r="B352" s="51"/>
      <c r="C352" s="51"/>
      <c r="D352" s="52"/>
      <c r="E352" s="53"/>
      <c r="F352" s="54"/>
      <c r="G352" s="54"/>
      <c r="H352" s="54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8">
        <f t="array" ref="W352">IF(A352&lt;&gt;"",_xlfn.IFS(A352="Grade 1",SUM(L352:T352),A352="Grade 2",SUM(L352:V352),A352="Grade 3",SUM(L352:T352)),"")</f>
      </c>
      <c r="X352" s="57"/>
    </row>
    <row r="353" ht="19.95" customHeight="1" hidden="1" spans="1:24" x14ac:dyDescent="0.25">
      <c r="A353" s="50"/>
      <c r="B353" s="51"/>
      <c r="C353" s="51"/>
      <c r="D353" s="52"/>
      <c r="E353" s="53"/>
      <c r="F353" s="54"/>
      <c r="G353" s="54"/>
      <c r="H353" s="54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8">
        <f t="array" ref="W353">IF(A353&lt;&gt;"",_xlfn.IFS(A353="Grade 1",SUM(L353:T353),A353="Grade 2",SUM(L353:V353),A353="Grade 3",SUM(L353:T353)),"")</f>
      </c>
      <c r="X353" s="57"/>
    </row>
    <row r="354" ht="19.95" customHeight="1" hidden="1" spans="1:24" x14ac:dyDescent="0.25">
      <c r="A354" s="50"/>
      <c r="B354" s="51"/>
      <c r="C354" s="51"/>
      <c r="D354" s="52"/>
      <c r="E354" s="53"/>
      <c r="F354" s="54"/>
      <c r="G354" s="54"/>
      <c r="H354" s="54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8">
        <f t="array" ref="W354">IF(A354&lt;&gt;"",_xlfn.IFS(A354="Grade 1",SUM(L354:T354),A354="Grade 2",SUM(L354:V354),A354="Grade 3",SUM(L354:T354)),"")</f>
      </c>
      <c r="X354" s="57"/>
    </row>
    <row r="355" ht="19.95" customHeight="1" hidden="1" spans="1:24" x14ac:dyDescent="0.25">
      <c r="A355" s="50"/>
      <c r="B355" s="51"/>
      <c r="C355" s="51"/>
      <c r="D355" s="52"/>
      <c r="E355" s="53"/>
      <c r="F355" s="54"/>
      <c r="G355" s="54"/>
      <c r="H355" s="54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8">
        <f t="array" ref="W355">IF(A355&lt;&gt;"",_xlfn.IFS(A355="Grade 1",SUM(L355:T355),A355="Grade 2",SUM(L355:V355),A355="Grade 3",SUM(L355:T355)),"")</f>
      </c>
      <c r="X355" s="57"/>
    </row>
    <row r="356" ht="19.95" customHeight="1" hidden="1" spans="1:24" x14ac:dyDescent="0.25">
      <c r="A356" s="50"/>
      <c r="B356" s="51"/>
      <c r="C356" s="51"/>
      <c r="D356" s="52"/>
      <c r="E356" s="53"/>
      <c r="F356" s="54"/>
      <c r="G356" s="54"/>
      <c r="H356" s="54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8">
        <f t="array" ref="W356">IF(A356&lt;&gt;"",_xlfn.IFS(A356="Grade 1",SUM(L356:T356),A356="Grade 2",SUM(L356:V356),A356="Grade 3",SUM(L356:T356)),"")</f>
      </c>
      <c r="X356" s="57"/>
    </row>
    <row r="357" ht="19.95" customHeight="1" hidden="1" spans="1:24" x14ac:dyDescent="0.25">
      <c r="A357" s="50"/>
      <c r="B357" s="51"/>
      <c r="C357" s="51"/>
      <c r="D357" s="52"/>
      <c r="E357" s="53"/>
      <c r="F357" s="54"/>
      <c r="G357" s="54"/>
      <c r="H357" s="54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8">
        <f t="array" ref="W357">IF(A357&lt;&gt;"",_xlfn.IFS(A357="Grade 1",SUM(L357:T357),A357="Grade 2",SUM(L357:V357),A357="Grade 3",SUM(L357:T357)),"")</f>
      </c>
      <c r="X357" s="57"/>
    </row>
    <row r="358" ht="19.95" customHeight="1" hidden="1" spans="1:24" x14ac:dyDescent="0.25">
      <c r="A358" s="50"/>
      <c r="B358" s="51"/>
      <c r="C358" s="51"/>
      <c r="D358" s="52"/>
      <c r="E358" s="53"/>
      <c r="F358" s="54"/>
      <c r="G358" s="54"/>
      <c r="H358" s="54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8">
        <f t="array" ref="W358">IF(A358&lt;&gt;"",_xlfn.IFS(A358="Grade 1",SUM(L358:T358),A358="Grade 2",SUM(L358:V358),A358="Grade 3",SUM(L358:T358)),"")</f>
      </c>
      <c r="X358" s="57"/>
    </row>
    <row r="359" ht="19.95" customHeight="1" hidden="1" spans="1:24" x14ac:dyDescent="0.25">
      <c r="A359" s="50"/>
      <c r="B359" s="51"/>
      <c r="C359" s="51"/>
      <c r="D359" s="52"/>
      <c r="E359" s="53"/>
      <c r="F359" s="54"/>
      <c r="G359" s="54"/>
      <c r="H359" s="54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8">
        <f t="array" ref="W359">IF(A359&lt;&gt;"",_xlfn.IFS(A359="Grade 1",SUM(L359:T359),A359="Grade 2",SUM(L359:V359),A359="Grade 3",SUM(L359:T359)),"")</f>
      </c>
      <c r="X359" s="57"/>
    </row>
    <row r="360" ht="19.95" customHeight="1" hidden="1" spans="1:24" x14ac:dyDescent="0.25">
      <c r="A360" s="50"/>
      <c r="B360" s="51"/>
      <c r="C360" s="51"/>
      <c r="D360" s="52"/>
      <c r="E360" s="53"/>
      <c r="F360" s="54"/>
      <c r="G360" s="54"/>
      <c r="H360" s="54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8">
        <f t="array" ref="W360">IF(A360&lt;&gt;"",_xlfn.IFS(A360="Grade 1",SUM(L360:T360),A360="Grade 2",SUM(L360:V360),A360="Grade 3",SUM(L360:T360)),"")</f>
      </c>
      <c r="X360" s="57"/>
    </row>
    <row r="361" ht="19.95" customHeight="1" hidden="1" spans="1:24" x14ac:dyDescent="0.25">
      <c r="A361" s="50"/>
      <c r="B361" s="51"/>
      <c r="C361" s="51"/>
      <c r="D361" s="52"/>
      <c r="E361" s="53"/>
      <c r="F361" s="54"/>
      <c r="G361" s="54"/>
      <c r="H361" s="54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8">
        <f t="array" ref="W361">IF(A361&lt;&gt;"",_xlfn.IFS(A361="Grade 1",SUM(L361:T361),A361="Grade 2",SUM(L361:V361),A361="Grade 3",SUM(L361:T361)),"")</f>
      </c>
      <c r="X361" s="57"/>
    </row>
    <row r="362" ht="19.95" customHeight="1" hidden="1" spans="1:24" x14ac:dyDescent="0.25">
      <c r="A362" s="50"/>
      <c r="B362" s="51"/>
      <c r="C362" s="51"/>
      <c r="D362" s="52"/>
      <c r="E362" s="53"/>
      <c r="F362" s="54"/>
      <c r="G362" s="54"/>
      <c r="H362" s="54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8">
        <f t="array" ref="W362">IF(A362&lt;&gt;"",_xlfn.IFS(A362="Grade 1",SUM(L362:T362),A362="Grade 2",SUM(L362:V362),A362="Grade 3",SUM(L362:T362)),"")</f>
      </c>
      <c r="X362" s="57"/>
    </row>
  </sheetData>
  <sheetProtection sheet="1" selectLockedCells="1" formatColumns="0" algorithmName="SHA-512" hashValue="diL48XgjNhwX3oV3GHqXYSYvDDeTziuwC/zjufP67Z+8lKW2kTfD5amEpSkAHewAAnT/d0hoGvdjGNQctZyixA==" saltValue="tLu7OMNFiVdsooiJF/EIIA==" spinCount="100000" objects="1" scenarios="1"/>
  <mergeCells count="13">
    <mergeCell ref="A2:E2"/>
    <mergeCell ref="E4:J4"/>
    <mergeCell ref="B5:D5"/>
    <mergeCell ref="E6:F6"/>
    <mergeCell ref="G6:H6"/>
    <mergeCell ref="I6:J6"/>
    <mergeCell ref="G8:K8"/>
    <mergeCell ref="L8:V8"/>
    <mergeCell ref="A8:A9"/>
    <mergeCell ref="D8:D9"/>
    <mergeCell ref="E8:E9"/>
    <mergeCell ref="F8:F9"/>
    <mergeCell ref="X8:X9"/>
  </mergeCells>
  <conditionalFormatting sqref="D10:D362">
    <cfRule type="containsText" dxfId="0" priority="22">
      <formula>NOT(ISERROR(SEARCH("[choose language here]",D10)))</formula>
    </cfRule>
  </conditionalFormatting>
  <conditionalFormatting sqref="E10:H362">
    <cfRule type="containsText" dxfId="1" priority="23">
      <formula>NOT(ISERROR(SEARCH("[enter class enrolment]",E10)))</formula>
    </cfRule>
  </conditionalFormatting>
  <conditionalFormatting sqref="T10:T200">
    <cfRule type="expression" dxfId="2" priority="1">
      <formula>AND($A10&lt;&gt; "Grade 2",$A10 &lt;&gt; "")</formula>
    </cfRule>
  </conditionalFormatting>
  <conditionalFormatting sqref="U10:U362">
    <cfRule type="expression" dxfId="3" priority="5">
      <formula>AND($A10&lt;&gt; "Grade 2",$A10 &lt;&gt; "")</formula>
    </cfRule>
  </conditionalFormatting>
  <conditionalFormatting sqref="V10:V362">
    <cfRule type="expression" dxfId="4" priority="3">
      <formula>AND($A10&lt;&gt; "Grade 2",$A10&lt;&gt;"")</formula>
    </cfRule>
  </conditionalFormatting>
  <conditionalFormatting sqref="X1:AB1048576">
    <cfRule type="containsText" dxfId="5" priority="6">
      <formula>NOT(ISERROR(SEARCH("Error",X1)))</formula>
    </cfRule>
  </conditionalFormatting>
  <conditionalFormatting sqref="X10:AB362">
    <cfRule type="cellIs" dxfId="6" priority="8" operator="equal">
      <formula>"Data with Error"</formula>
    </cfRule>
  </conditionalFormatting>
  <dataValidations count="5">
    <dataValidation type="list" allowBlank="1" showInputMessage="1" showErrorMessage="1" sqref="A10:A362">
      <formula1>"Grade 1, Grade 2, Grade 3"</formula1>
    </dataValidation>
    <dataValidation type="list" allowBlank="1" showInputMessage="1" showErrorMessage="1" sqref="C10:C362">
      <formula1>"Male, Female"</formula1>
    </dataValidation>
    <dataValidation type="list" allowBlank="1" showInputMessage="1" prompt="Enter Medium of instruction / Language of Instruction" showErrorMessage="1" sqref="E6">
      <formula1>$AA$11:$AA$45</formula1>
    </dataValidation>
    <dataValidation type="list" allowBlank="1" showInputMessage="1" prompt="Enter Medium of instruction / Language of Instruction" showErrorMessage="1" sqref="G6">
      <formula1>$AA$11:$AA$45</formula1>
    </dataValidation>
    <dataValidation type="list" allowBlank="1" showInputMessage="1" prompt="Enter Medium of instruction / Language of Instruction" showErrorMessage="1" sqref="I6">
      <formula1>$AA$11:$AA$45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707"/>
  <sheetViews>
    <sheetView workbookViewId="0" zoomScale="86" zoomScaleNormal="86">
      <selection activeCell="A11" sqref="A11"/>
    </sheetView>
  </sheetViews>
  <sheetFormatPr defaultRowHeight="0" outlineLevelRow="0" outlineLevelCol="0" x14ac:dyDescent="0.3" customHeight="1"/>
  <cols>
    <col min="1" max="1" width="15.6640625" customWidth="1"/>
    <col min="2" max="2" width="16.44140625" style="1" customWidth="1"/>
    <col min="3" max="3" width="14.6640625" style="1" customWidth="1"/>
    <col min="4" max="4" width="10.6640625" style="1" customWidth="1"/>
    <col min="5" max="5" width="10.109375" style="1" customWidth="1"/>
    <col min="6" max="6" width="8.88671875" style="1" customWidth="1"/>
    <col min="7" max="7" width="8.6640625" style="1" customWidth="1"/>
    <col min="8" max="8" width="9.88671875" style="1" customWidth="1"/>
    <col min="9" max="9" width="11.6640625" style="1" customWidth="1"/>
    <col min="10" max="10" width="10.44140625" style="1" customWidth="1"/>
    <col min="11" max="11" width="7.33203125" customWidth="1"/>
    <col min="12" max="12" width="9.33203125" style="1" customWidth="1"/>
    <col min="13" max="22" width="7.6640625" style="1" customWidth="1"/>
    <col min="23" max="23" width="8" style="1" customWidth="1"/>
    <col min="24" max="25" width="4.88671875" customWidth="1"/>
    <col min="26" max="26" width="7.33203125" hidden="1" customWidth="1"/>
    <col min="27" max="33" width="4.88671875" hidden="1" customWidth="1"/>
    <col min="34" max="16384" width="8.88671875" hidden="1" customWidth="1"/>
  </cols>
  <sheetData>
    <row r="1" ht="14.4" customHeight="1" spans="1:24" x14ac:dyDescent="0.25">
      <c r="A1" t="s">
        <v>0</v>
      </c>
      <c r="X1" s="59" t="str">
        <f>'Class Results'!$X$1</f>
        <v>RMA2v2</v>
      </c>
    </row>
    <row r="2" ht="15.6" customHeight="1" spans="1:7" x14ac:dyDescent="0.25">
      <c r="A2" s="60" t="s">
        <v>70</v>
      </c>
      <c r="B2" s="60"/>
      <c r="C2" s="60"/>
      <c r="D2" s="60"/>
      <c r="E2" s="60"/>
      <c r="F2" s="60"/>
      <c r="G2" s="60"/>
    </row>
    <row r="3" ht="14.4" customHeight="1" spans="9:10" x14ac:dyDescent="0.25">
      <c r="I3" s="3" t="s">
        <v>71</v>
      </c>
      <c r="J3" s="3">
        <f>D11+D13+D15</f>
        <v>11</v>
      </c>
    </row>
    <row r="4" ht="15" customHeight="1" spans="1:10" x14ac:dyDescent="0.25">
      <c r="A4" s="6"/>
      <c r="B4" s="61"/>
      <c r="I4" s="3" t="s">
        <v>72</v>
      </c>
      <c r="J4" s="3">
        <f>D12+D14+D16</f>
        <v>13</v>
      </c>
    </row>
    <row r="5" ht="22.2" customHeight="1" spans="1:13" x14ac:dyDescent="0.25">
      <c r="A5" s="6" t="s">
        <v>2</v>
      </c>
      <c r="B5" s="61">
        <f>'Class Results'!B4</f>
        <v>107460</v>
      </c>
      <c r="C5" s="1" t="s">
        <v>73</v>
      </c>
      <c r="G5" s="62" t="s">
        <v>3</v>
      </c>
      <c r="H5" s="63"/>
      <c r="I5" s="63"/>
      <c r="J5" s="63"/>
      <c r="K5" s="63"/>
      <c r="L5" s="64"/>
      <c r="M5" s="6"/>
    </row>
    <row r="6" ht="24" customHeight="1" spans="1:56" x14ac:dyDescent="0.25">
      <c r="A6" s="6" t="s">
        <v>74</v>
      </c>
      <c r="B6" t="str">
        <f>'Class Results'!$B$5</f>
        <v>PANAY ELEMENTARY SCHOOL</v>
      </c>
      <c r="G6" s="65" t="s">
        <v>6</v>
      </c>
      <c r="H6" s="66"/>
      <c r="I6" s="66" t="s">
        <v>7</v>
      </c>
      <c r="J6" s="66"/>
      <c r="K6" s="66" t="s">
        <v>8</v>
      </c>
      <c r="L6" s="67"/>
      <c r="BC6" s="68" t="s">
        <v>75</v>
      </c>
      <c r="BD6" s="68"/>
    </row>
    <row r="7" ht="23.4" customHeight="1" spans="2:56" x14ac:dyDescent="0.25">
      <c r="B7" s="61"/>
      <c r="G7" s="69" t="str">
        <f>'Class Results'!E6</f>
        <v>Tagalog</v>
      </c>
      <c r="H7" s="70"/>
      <c r="I7" s="70" t="str">
        <f>'Class Results'!G6</f>
        <v>Tagalog</v>
      </c>
      <c r="J7" s="70"/>
      <c r="K7" s="70" t="str">
        <f>'Class Results'!I6</f>
        <v>Tagalog</v>
      </c>
      <c r="L7" s="71"/>
      <c r="BC7" s="68" t="s">
        <v>6</v>
      </c>
      <c r="BD7" s="68">
        <v>35</v>
      </c>
    </row>
    <row r="8" ht="15.6" customHeight="1" spans="1:56" x14ac:dyDescent="0.25">
      <c r="A8" s="6"/>
      <c r="B8" s="61"/>
      <c r="K8" s="1"/>
      <c r="BC8" s="68" t="s">
        <v>7</v>
      </c>
      <c r="BD8" s="68">
        <v>25</v>
      </c>
    </row>
    <row r="9" ht="14.4" customHeight="1" spans="1:56" x14ac:dyDescent="0.25">
      <c r="A9" s="72" t="s">
        <v>73</v>
      </c>
      <c r="B9" s="73" t="s">
        <v>73</v>
      </c>
      <c r="C9" s="74" t="s">
        <v>11</v>
      </c>
      <c r="D9" s="75" t="s">
        <v>12</v>
      </c>
      <c r="E9" s="24" t="s">
        <v>13</v>
      </c>
      <c r="F9" s="23" t="s">
        <v>12</v>
      </c>
      <c r="G9" s="23"/>
      <c r="H9" s="23"/>
      <c r="I9" s="23"/>
      <c r="J9" s="23"/>
      <c r="L9" s="76" t="s">
        <v>76</v>
      </c>
      <c r="M9" s="28"/>
      <c r="N9" s="28"/>
      <c r="O9" s="28"/>
      <c r="P9" s="28"/>
      <c r="Q9" s="28"/>
      <c r="R9" s="28"/>
      <c r="S9" s="28"/>
      <c r="T9" s="28"/>
      <c r="U9" s="28"/>
      <c r="V9" s="28"/>
      <c r="W9" s="77" t="s">
        <v>34</v>
      </c>
      <c r="AD9" s="76" t="s">
        <v>77</v>
      </c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78"/>
      <c r="BC9" s="68" t="s">
        <v>8</v>
      </c>
      <c r="BD9" s="68">
        <v>20</v>
      </c>
    </row>
    <row r="10" ht="39" customHeight="1" spans="1:41" x14ac:dyDescent="0.25">
      <c r="A10" s="79" t="s">
        <v>10</v>
      </c>
      <c r="B10" s="33" t="s">
        <v>17</v>
      </c>
      <c r="C10" s="80"/>
      <c r="D10" s="81"/>
      <c r="E10" s="36"/>
      <c r="F10" s="82" t="s">
        <v>18</v>
      </c>
      <c r="G10" s="82" t="s">
        <v>19</v>
      </c>
      <c r="H10" s="82" t="s">
        <v>20</v>
      </c>
      <c r="I10" s="82" t="s">
        <v>21</v>
      </c>
      <c r="J10" s="82" t="s">
        <v>22</v>
      </c>
      <c r="L10" s="83" t="s">
        <v>23</v>
      </c>
      <c r="M10" s="35" t="s">
        <v>24</v>
      </c>
      <c r="N10" s="35" t="s">
        <v>25</v>
      </c>
      <c r="O10" s="35" t="s">
        <v>26</v>
      </c>
      <c r="P10" s="35" t="s">
        <v>27</v>
      </c>
      <c r="Q10" s="35" t="s">
        <v>28</v>
      </c>
      <c r="R10" s="35" t="s">
        <v>29</v>
      </c>
      <c r="S10" s="35" t="s">
        <v>30</v>
      </c>
      <c r="T10" s="35" t="s">
        <v>31</v>
      </c>
      <c r="U10" s="35" t="s">
        <v>32</v>
      </c>
      <c r="V10" s="35" t="s">
        <v>33</v>
      </c>
      <c r="W10" s="84"/>
      <c r="AD10" s="83" t="s">
        <v>23</v>
      </c>
      <c r="AE10" s="35" t="s">
        <v>24</v>
      </c>
      <c r="AF10" s="35" t="s">
        <v>25</v>
      </c>
      <c r="AG10" s="35" t="s">
        <v>26</v>
      </c>
      <c r="AH10" s="35" t="s">
        <v>27</v>
      </c>
      <c r="AI10" s="35" t="s">
        <v>28</v>
      </c>
      <c r="AJ10" s="35" t="s">
        <v>29</v>
      </c>
      <c r="AK10" s="35" t="s">
        <v>30</v>
      </c>
      <c r="AL10" s="35" t="s">
        <v>31</v>
      </c>
      <c r="AM10" s="35" t="s">
        <v>32</v>
      </c>
      <c r="AN10" s="35" t="s">
        <v>33</v>
      </c>
      <c r="AO10" s="84" t="s">
        <v>78</v>
      </c>
    </row>
    <row r="11" ht="19.95" customHeight="1" spans="1:41" x14ac:dyDescent="0.25">
      <c r="A11" s="85" t="s">
        <v>6</v>
      </c>
      <c r="B11" s="86" t="s">
        <v>71</v>
      </c>
      <c r="C11" s="87">
        <f>SUMIFS('Class Results'!D$10:D$362,'Class Results'!$A$10:$A$362,$A11, 'Class Results'!$C$10:$C$362,$B11)</f>
        <v>3</v>
      </c>
      <c r="D11" s="87">
        <f>SUMIFS('Class Results'!E$10:E$362,'Class Results'!$A$10:$A$362,$A11, 'Class Results'!$C$10:$C$362,$B11)</f>
        <v>3</v>
      </c>
      <c r="E11" s="87">
        <f>SUMIFS('Class Results'!F$10:F$362,'Class Results'!$A$10:$A$362,$A11, 'Class Results'!$C$10:$C$362,$B11)</f>
        <v>3</v>
      </c>
      <c r="F11" s="87">
        <f>SUMIFS('Class Results'!G$10:G$362,'Class Results'!$A$10:$A$362,$A11, 'Class Results'!$C$10:$C$362,$B11)</f>
        <v>0</v>
      </c>
      <c r="G11" s="87">
        <f>SUMIFS('Class Results'!H$10:H$362,'Class Results'!$A$10:$A$362,$A11, 'Class Results'!$C$10:$C$362,$B11)</f>
        <v>0</v>
      </c>
      <c r="H11" s="86">
        <f>SUMIFS('Class Results'!I$10:I$362,'Class Results'!$A$10:$A$362,$A11, 'Class Results'!$C$10:$C$362,$B11)</f>
        <v>2</v>
      </c>
      <c r="I11" s="86">
        <f>SUMIFS('Class Results'!J$10:J$362,'Class Results'!$A$10:$A$362,$A11, 'Class Results'!$C$10:$C$362,$B11)</f>
        <v>1</v>
      </c>
      <c r="J11" s="88">
        <f>SUMIFS('Class Results'!K$10:K$362,'Class Results'!$A$10:$A$362,$A11, 'Class Results'!$C$10:$C$362,$B11)</f>
        <v>0</v>
      </c>
      <c r="L11" s="89">
        <f>SUMIFS('Class Results'!L$10:L$362,'Class Results'!$A$10:$A$362,$A11, 'Class Results'!$C$10:$C$362,$B11)</f>
        <v>0</v>
      </c>
      <c r="M11" s="90">
        <f>SUMIFS('Class Results'!M$10:M$362,'Class Results'!$A$10:$A$362,$A11, 'Class Results'!$C$10:$C$362,$B11)</f>
        <v>1</v>
      </c>
      <c r="N11" s="90">
        <f>SUMIFS('Class Results'!N$10:N$362,'Class Results'!$A$10:$A$362,$A11, 'Class Results'!$C$10:$C$362,$B11)</f>
        <v>2</v>
      </c>
      <c r="O11" s="90">
        <f>SUMIFS('Class Results'!O$10:O$362,'Class Results'!$A$10:$A$362,$A11, 'Class Results'!$C$10:$C$362,$B11)</f>
        <v>0</v>
      </c>
      <c r="P11" s="90">
        <f>SUMIFS('Class Results'!P$10:P$362,'Class Results'!$A$10:$A$362,$A11, 'Class Results'!$C$10:$C$362,$B11)</f>
        <v>1</v>
      </c>
      <c r="Q11" s="90">
        <f>SUMIFS('Class Results'!Q$10:Q$362,'Class Results'!$A$10:$A$362,$A11, 'Class Results'!$C$10:$C$362,$B11)</f>
        <v>3</v>
      </c>
      <c r="R11" s="90">
        <f>SUMIFS('Class Results'!R$10:R$362,'Class Results'!$A$10:$A$362,$A11, 'Class Results'!$C$10:$C$362,$B11)</f>
        <v>1</v>
      </c>
      <c r="S11" s="90">
        <f>SUMIFS('Class Results'!S$10:S$362,'Class Results'!$A$10:$A$362,$A11, 'Class Results'!$C$10:$C$362,$B11)</f>
        <v>2</v>
      </c>
      <c r="T11" s="91"/>
      <c r="U11" s="91"/>
      <c r="V11" s="91"/>
      <c r="W11" s="92">
        <f>IFERROR(AVERAGEIFS('Class Results'!W$10:W$362,'Class Results'!$A$10:$A$362,$A11, 'Class Results'!$C$10:$C$362,$B11),"")</f>
        <v>25.33</v>
      </c>
      <c r="AD11" s="93">
        <v>8</v>
      </c>
      <c r="AE11" s="94">
        <v>2</v>
      </c>
      <c r="AF11" s="94">
        <v>8</v>
      </c>
      <c r="AG11" s="94">
        <v>6</v>
      </c>
      <c r="AH11" s="94">
        <v>4</v>
      </c>
      <c r="AI11" s="94">
        <v>1</v>
      </c>
      <c r="AJ11" s="94">
        <v>3</v>
      </c>
      <c r="AK11" s="94">
        <v>3</v>
      </c>
      <c r="AL11" s="94"/>
      <c r="AM11" s="94"/>
      <c r="AN11" s="94"/>
      <c r="AO11" s="95">
        <f>SUM(AD11:AL11)</f>
        <v>35</v>
      </c>
    </row>
    <row r="12" ht="19.95" customHeight="1" spans="1:41" x14ac:dyDescent="0.25">
      <c r="A12" s="85" t="s">
        <v>6</v>
      </c>
      <c r="B12" s="96" t="s">
        <v>72</v>
      </c>
      <c r="C12" s="97">
        <f>SUMIFS('Class Results'!D$10:D$362,'Class Results'!$A$10:$A$362,$A12, 'Class Results'!$C$10:$C$362,$B12)</f>
        <v>3</v>
      </c>
      <c r="D12" s="97">
        <f>SUMIFS('Class Results'!E$10:E$362,'Class Results'!$A$10:$A$362,$A12, 'Class Results'!$C$10:$C$362,$B12)</f>
        <v>4</v>
      </c>
      <c r="E12" s="97">
        <f>SUMIFS('Class Results'!F$10:F$362,'Class Results'!$A$10:$A$362,$A12, 'Class Results'!$C$10:$C$362,$B12)</f>
        <v>4</v>
      </c>
      <c r="F12" s="97">
        <f>SUMIFS('Class Results'!G$10:G$362,'Class Results'!$A$10:$A$362,$A12, 'Class Results'!$C$10:$C$362,$B12)</f>
        <v>0</v>
      </c>
      <c r="G12" s="97">
        <f>SUMIFS('Class Results'!H$10:H$362,'Class Results'!$A$10:$A$362,$A12, 'Class Results'!$C$10:$C$362,$B12)</f>
        <v>3</v>
      </c>
      <c r="H12" s="96">
        <f>SUMIFS('Class Results'!I$10:I$362,'Class Results'!$A$10:$A$362,$A12, 'Class Results'!$C$10:$C$362,$B12)</f>
        <v>1</v>
      </c>
      <c r="I12" s="96">
        <f>SUMIFS('Class Results'!J$10:J$362,'Class Results'!$A$10:$A$362,$A12, 'Class Results'!$C$10:$C$362,$B12)</f>
        <v>0</v>
      </c>
      <c r="J12" s="98">
        <f>SUMIFS('Class Results'!K$10:K$362,'Class Results'!$A$10:$A$362,$A12, 'Class Results'!$C$10:$C$362,$B12)</f>
        <v>0</v>
      </c>
      <c r="L12" s="89">
        <f>SUMIFS('Class Results'!L$10:L$362,'Class Results'!$A$10:$A$362,$A12, 'Class Results'!$C$10:$C$362,$B12)</f>
        <v>0</v>
      </c>
      <c r="M12" s="90">
        <f>SUMIFS('Class Results'!M$10:M$362,'Class Results'!$A$10:$A$362,$A12, 'Class Results'!$C$10:$C$362,$B12)</f>
        <v>2</v>
      </c>
      <c r="N12" s="90">
        <f>SUMIFS('Class Results'!N$10:N$362,'Class Results'!$A$10:$A$362,$A12, 'Class Results'!$C$10:$C$362,$B12)</f>
        <v>1</v>
      </c>
      <c r="O12" s="90">
        <f>SUMIFS('Class Results'!O$10:O$362,'Class Results'!$A$10:$A$362,$A12, 'Class Results'!$C$10:$C$362,$B12)</f>
        <v>0</v>
      </c>
      <c r="P12" s="90">
        <f>SUMIFS('Class Results'!P$10:P$362,'Class Results'!$A$10:$A$362,$A12, 'Class Results'!$C$10:$C$362,$B12)</f>
        <v>0</v>
      </c>
      <c r="Q12" s="90">
        <f>SUMIFS('Class Results'!Q$10:Q$362,'Class Results'!$A$10:$A$362,$A12, 'Class Results'!$C$10:$C$362,$B12)</f>
        <v>2</v>
      </c>
      <c r="R12" s="90">
        <f>SUMIFS('Class Results'!R$10:R$362,'Class Results'!$A$10:$A$362,$A12, 'Class Results'!$C$10:$C$362,$B12)</f>
        <v>2</v>
      </c>
      <c r="S12" s="90">
        <f>SUMIFS('Class Results'!S$10:S$362,'Class Results'!$A$10:$A$362,$A12, 'Class Results'!$C$10:$C$362,$B12)</f>
        <v>2</v>
      </c>
      <c r="T12" s="91"/>
      <c r="U12" s="91"/>
      <c r="V12" s="91"/>
      <c r="W12" s="92">
        <f>IFERROR(AVERAGEIFS('Class Results'!W$10:W$362,'Class Results'!$A$10:$A$362,$A12, 'Class Results'!$C$10:$C$362,$B12),"")</f>
        <v>15.25</v>
      </c>
      <c r="AD12" s="93">
        <v>3</v>
      </c>
      <c r="AE12" s="94">
        <v>1</v>
      </c>
      <c r="AF12" s="94">
        <v>2</v>
      </c>
      <c r="AG12" s="94">
        <v>1</v>
      </c>
      <c r="AH12" s="94">
        <v>4</v>
      </c>
      <c r="AI12" s="94">
        <v>3</v>
      </c>
      <c r="AJ12" s="94">
        <v>3</v>
      </c>
      <c r="AK12" s="94">
        <v>4</v>
      </c>
      <c r="AL12" s="94">
        <v>2</v>
      </c>
      <c r="AM12" s="94">
        <v>1</v>
      </c>
      <c r="AN12" s="94">
        <v>1</v>
      </c>
      <c r="AO12" s="95">
        <f>SUM(AD12:AN12)</f>
        <v>25</v>
      </c>
    </row>
    <row r="13" ht="19.95" customHeight="1" spans="1:41" x14ac:dyDescent="0.25">
      <c r="A13" s="85" t="s">
        <v>7</v>
      </c>
      <c r="B13" s="94" t="str">
        <f>B11</f>
        <v>Male</v>
      </c>
      <c r="C13" s="94">
        <f>SUMIFS('Class Results'!D$10:D$362,'Class Results'!$A$10:$A$362,$A13, 'Class Results'!$C$10:$C$362,$B13)</f>
        <v>4</v>
      </c>
      <c r="D13" s="94">
        <f>SUMIFS('Class Results'!E$10:E$362,'Class Results'!$A$10:$A$362,$A13, 'Class Results'!$C$10:$C$362,$B13)</f>
        <v>4</v>
      </c>
      <c r="E13" s="94">
        <f>SUMIFS('Class Results'!F$10:F$362,'Class Results'!$A$10:$A$362,$A13, 'Class Results'!$C$10:$C$362,$B13)</f>
        <v>4</v>
      </c>
      <c r="F13" s="94">
        <f>SUMIFS('Class Results'!G$10:G$362,'Class Results'!$A$10:$A$362,$A13, 'Class Results'!$C$10:$C$362,$B13)</f>
        <v>2</v>
      </c>
      <c r="G13" s="94">
        <f>SUMIFS('Class Results'!H$10:H$362,'Class Results'!$A$10:$A$362,$A13, 'Class Results'!$C$10:$C$362,$B13)</f>
        <v>1</v>
      </c>
      <c r="H13" s="94">
        <f>SUMIFS('Class Results'!I$10:I$362,'Class Results'!$A$10:$A$362,$A13, 'Class Results'!$C$10:$C$362,$B13)</f>
        <v>1</v>
      </c>
      <c r="I13" s="94">
        <f>SUMIFS('Class Results'!J$10:J$362,'Class Results'!$A$10:$A$362,$A13, 'Class Results'!$C$10:$C$362,$B13)</f>
        <v>0</v>
      </c>
      <c r="J13" s="95">
        <f>SUMIFS('Class Results'!K$10:K$362,'Class Results'!$A$10:$A$362,$A13, 'Class Results'!$C$10:$C$362,$B13)</f>
        <v>0</v>
      </c>
      <c r="L13" s="89">
        <f>SUMIFS('Class Results'!L$10:L$362,'Class Results'!$A$10:$A$362,$A13, 'Class Results'!$C$10:$C$362,$B13)</f>
        <v>0</v>
      </c>
      <c r="M13" s="99">
        <f>SUMIFS('Class Results'!M$10:M$362,'Class Results'!$A$10:$A$362,$A13, 'Class Results'!$C$10:$C$362,$B13)</f>
        <v>1</v>
      </c>
      <c r="N13" s="99">
        <f>SUMIFS('Class Results'!N$10:N$362,'Class Results'!$A$10:$A$362,$A13, 'Class Results'!$C$10:$C$362,$B13)</f>
        <v>1</v>
      </c>
      <c r="O13" s="99">
        <f>SUMIFS('Class Results'!O$10:O$362,'Class Results'!$A$10:$A$362,$A13, 'Class Results'!$C$10:$C$362,$B13)</f>
        <v>1</v>
      </c>
      <c r="P13" s="99">
        <f>SUMIFS('Class Results'!P$10:P$362,'Class Results'!$A$10:$A$362,$A13, 'Class Results'!$C$10:$C$362,$B13)</f>
        <v>0</v>
      </c>
      <c r="Q13" s="99">
        <f>SUMIFS('Class Results'!Q$10:Q$362,'Class Results'!$A$10:$A$362,$A13, 'Class Results'!$C$10:$C$362,$B13)</f>
        <v>0</v>
      </c>
      <c r="R13" s="99">
        <f>SUMIFS('Class Results'!R$10:R$362,'Class Results'!$A$10:$A$362,$A13, 'Class Results'!$C$10:$C$362,$B13)</f>
        <v>0</v>
      </c>
      <c r="S13" s="99">
        <f>SUMIFS('Class Results'!S$10:S$362,'Class Results'!$A$10:$A$362,$A13, 'Class Results'!$C$10:$C$362,$B13)</f>
        <v>0</v>
      </c>
      <c r="T13" s="99">
        <f>SUMIFS('Class Results'!T$10:T$362,'Class Results'!$A$10:$A$362,$A13, 'Class Results'!$C$10:$C$362,$B13)</f>
        <v>3</v>
      </c>
      <c r="U13" s="99">
        <f>SUMIFS('Class Results'!U$10:U$362,'Class Results'!$A$10:$A$362,$A13, 'Class Results'!$C$10:$C$362,$B13)</f>
        <v>4</v>
      </c>
      <c r="V13" s="99">
        <f>SUMIFS('Class Results'!V$10:V$362,'Class Results'!$A$10:$A$362,$A13, 'Class Results'!$C$10:$C$362,$B13)</f>
        <v>4</v>
      </c>
      <c r="W13" s="92">
        <f>IFERROR(AVERAGEIFS('Class Results'!W$10:W$362,'Class Results'!$A$10:$A$362,$A13, 'Class Results'!$C$10:$C$362,$B13),"")</f>
        <v>8.75</v>
      </c>
      <c r="AD13" s="69">
        <v>2</v>
      </c>
      <c r="AE13" s="70">
        <v>1</v>
      </c>
      <c r="AF13" s="70">
        <v>2</v>
      </c>
      <c r="AG13" s="70">
        <v>3</v>
      </c>
      <c r="AH13" s="70">
        <v>3</v>
      </c>
      <c r="AI13" s="70">
        <v>2</v>
      </c>
      <c r="AJ13" s="70">
        <v>3</v>
      </c>
      <c r="AK13" s="70">
        <v>4</v>
      </c>
      <c r="AL13" s="70"/>
      <c r="AM13" s="70"/>
      <c r="AN13" s="70"/>
      <c r="AO13" s="71">
        <f>SUM(AD13:AN13)</f>
        <v>20</v>
      </c>
    </row>
    <row r="14" ht="19.95" customHeight="1" spans="1:23" x14ac:dyDescent="0.25">
      <c r="A14" s="85" t="s">
        <v>7</v>
      </c>
      <c r="B14" s="94" t="s">
        <v>72</v>
      </c>
      <c r="C14" s="94">
        <f>SUMIFS('Class Results'!D$10:D$362,'Class Results'!$A$10:$A$362,$A14, 'Class Results'!$C$10:$C$362,$B14)</f>
        <v>5</v>
      </c>
      <c r="D14" s="94">
        <f>SUMIFS('Class Results'!E$10:E$362,'Class Results'!$A$10:$A$362,$A14, 'Class Results'!$C$10:$C$362,$B14)</f>
        <v>5</v>
      </c>
      <c r="E14" s="94">
        <f>SUMIFS('Class Results'!F$10:F$362,'Class Results'!$A$10:$A$362,$A14, 'Class Results'!$C$10:$C$362,$B14)</f>
        <v>5</v>
      </c>
      <c r="F14" s="94">
        <f>SUMIFS('Class Results'!G$10:G$362,'Class Results'!$A$10:$A$362,$A14, 'Class Results'!$C$10:$C$362,$B14)</f>
        <v>0</v>
      </c>
      <c r="G14" s="94">
        <f>SUMIFS('Class Results'!H$10:H$362,'Class Results'!$A$10:$A$362,$A14, 'Class Results'!$C$10:$C$362,$B14)</f>
        <v>0</v>
      </c>
      <c r="H14" s="94">
        <f>SUMIFS('Class Results'!I$10:I$362,'Class Results'!$A$10:$A$362,$A14, 'Class Results'!$C$10:$C$362,$B14)</f>
        <v>1</v>
      </c>
      <c r="I14" s="94">
        <f>SUMIFS('Class Results'!J$10:J$362,'Class Results'!$A$10:$A$362,$A14, 'Class Results'!$C$10:$C$362,$B14)</f>
        <v>3</v>
      </c>
      <c r="J14" s="95">
        <f>SUMIFS('Class Results'!K$10:K$362,'Class Results'!$A$10:$A$362,$A14, 'Class Results'!$C$10:$C$362,$B14)</f>
        <v>1</v>
      </c>
      <c r="L14" s="89">
        <f>SUMIFS('Class Results'!L$10:L$362,'Class Results'!$A$10:$A$362,$A14, 'Class Results'!$C$10:$C$362,$B14)</f>
        <v>0</v>
      </c>
      <c r="M14" s="99">
        <f>SUMIFS('Class Results'!M$10:M$362,'Class Results'!$A$10:$A$362,$A14, 'Class Results'!$C$10:$C$362,$B14)</f>
        <v>5</v>
      </c>
      <c r="N14" s="99">
        <f>SUMIFS('Class Results'!N$10:N$362,'Class Results'!$A$10:$A$362,$A14, 'Class Results'!$C$10:$C$362,$B14)</f>
        <v>1</v>
      </c>
      <c r="O14" s="99">
        <f>SUMIFS('Class Results'!O$10:O$362,'Class Results'!$A$10:$A$362,$A14, 'Class Results'!$C$10:$C$362,$B14)</f>
        <v>4</v>
      </c>
      <c r="P14" s="99">
        <f>SUMIFS('Class Results'!P$10:P$362,'Class Results'!$A$10:$A$362,$A14, 'Class Results'!$C$10:$C$362,$B14)</f>
        <v>3</v>
      </c>
      <c r="Q14" s="99">
        <f>SUMIFS('Class Results'!Q$10:Q$362,'Class Results'!$A$10:$A$362,$A14, 'Class Results'!$C$10:$C$362,$B14)</f>
        <v>1</v>
      </c>
      <c r="R14" s="99">
        <f>SUMIFS('Class Results'!R$10:R$362,'Class Results'!$A$10:$A$362,$A14, 'Class Results'!$C$10:$C$362,$B14)</f>
        <v>4</v>
      </c>
      <c r="S14" s="99">
        <f>SUMIFS('Class Results'!S$10:S$362,'Class Results'!$A$10:$A$362,$A14, 'Class Results'!$C$10:$C$362,$B14)</f>
        <v>3</v>
      </c>
      <c r="T14" s="99">
        <f>SUMIFS('Class Results'!T$10:T$362,'Class Results'!$A$10:$A$362,$A14, 'Class Results'!$C$10:$C$362,$B14)</f>
        <v>5</v>
      </c>
      <c r="U14" s="99">
        <f>SUMIFS('Class Results'!U$10:U$362,'Class Results'!$A$10:$A$362,$A14, 'Class Results'!$C$10:$C$362,$B14)</f>
        <v>5</v>
      </c>
      <c r="V14" s="99">
        <f>SUMIFS('Class Results'!V$10:V$362,'Class Results'!$A$10:$A$362,$A14, 'Class Results'!$C$10:$C$362,$B14)</f>
        <v>5</v>
      </c>
      <c r="W14" s="92">
        <f>IFERROR(AVERAGEIFS('Class Results'!W$10:W$362,'Class Results'!$A$10:$A$362,$A14, 'Class Results'!$C$10:$C$362,$B14),"")</f>
        <v>18.8</v>
      </c>
    </row>
    <row r="15" ht="19.95" customHeight="1" spans="1:23" x14ac:dyDescent="0.25">
      <c r="A15" s="85" t="s">
        <v>8</v>
      </c>
      <c r="B15" s="94" t="str">
        <f>B11</f>
        <v>Male</v>
      </c>
      <c r="C15" s="94">
        <f>SUMIFS('Class Results'!D$10:D$362,'Class Results'!$A$10:$A$362,$A15, 'Class Results'!$C$10:$C$362,$B15)</f>
        <v>4</v>
      </c>
      <c r="D15" s="94">
        <f>SUMIFS('Class Results'!E$10:E$362,'Class Results'!$A$10:$A$362,$A15, 'Class Results'!$C$10:$C$362,$B15)</f>
        <v>4</v>
      </c>
      <c r="E15" s="94">
        <f>SUMIFS('Class Results'!F$10:F$362,'Class Results'!$A$10:$A$362,$A15, 'Class Results'!$C$10:$C$362,$B15)</f>
        <v>4</v>
      </c>
      <c r="F15" s="94">
        <f>SUMIFS('Class Results'!G$10:G$362,'Class Results'!$A$10:$A$362,$A15, 'Class Results'!$C$10:$C$362,$B15)</f>
        <v>0</v>
      </c>
      <c r="G15" s="94">
        <f>SUMIFS('Class Results'!H$10:H$362,'Class Results'!$A$10:$A$362,$A15, 'Class Results'!$C$10:$C$362,$B15)</f>
        <v>3</v>
      </c>
      <c r="H15" s="94">
        <f>SUMIFS('Class Results'!I$10:I$362,'Class Results'!$A$10:$A$362,$A15, 'Class Results'!$C$10:$C$362,$B15)</f>
        <v>1</v>
      </c>
      <c r="I15" s="94">
        <f>SUMIFS('Class Results'!J$10:J$362,'Class Results'!$A$10:$A$362,$A15, 'Class Results'!$C$10:$C$362,$B15)</f>
        <v>0</v>
      </c>
      <c r="J15" s="95">
        <f>SUMIFS('Class Results'!K$10:K$362,'Class Results'!$A$10:$A$362,$A15, 'Class Results'!$C$10:$C$362,$B15)</f>
        <v>0</v>
      </c>
      <c r="L15" s="89">
        <f>SUMIFS('Class Results'!L$10:L$362,'Class Results'!$A$10:$A$362,$A15, 'Class Results'!$C$10:$C$362,$B15)</f>
        <v>3</v>
      </c>
      <c r="M15" s="90">
        <f>SUMIFS('Class Results'!M$10:M$362,'Class Results'!$A$10:$A$362,$A15, 'Class Results'!$C$10:$C$362,$B15)</f>
        <v>4</v>
      </c>
      <c r="N15" s="90">
        <f>SUMIFS('Class Results'!N$10:N$362,'Class Results'!$A$10:$A$362,$A15, 'Class Results'!$C$10:$C$362,$B15)</f>
        <v>4</v>
      </c>
      <c r="O15" s="90">
        <f>SUMIFS('Class Results'!O$10:O$362,'Class Results'!$A$10:$A$362,$A15, 'Class Results'!$C$10:$C$362,$B15)</f>
        <v>1</v>
      </c>
      <c r="P15" s="90">
        <f>SUMIFS('Class Results'!P$10:P$362,'Class Results'!$A$10:$A$362,$A15, 'Class Results'!$C$10:$C$362,$B15)</f>
        <v>0</v>
      </c>
      <c r="Q15" s="90">
        <f>SUMIFS('Class Results'!Q$10:Q$362,'Class Results'!$A$10:$A$362,$A15, 'Class Results'!$C$10:$C$362,$B15)</f>
        <v>0</v>
      </c>
      <c r="R15" s="90">
        <f>SUMIFS('Class Results'!R$10:R$362,'Class Results'!$A$10:$A$362,$A15, 'Class Results'!$C$10:$C$362,$B15)</f>
        <v>0</v>
      </c>
      <c r="S15" s="90">
        <f>SUMIFS('Class Results'!S$10:S$362,'Class Results'!$A$10:$A$362,$A15, 'Class Results'!$C$10:$C$362,$B15)</f>
        <v>0</v>
      </c>
      <c r="T15" s="91">
        <f>IFERROR(AVERAGEIFS('Class Results'!T$10:T$362,'Class Results'!$A$10:$A$362,$A15, 'Class Results'!$C$10:$C$362,$B15),"")</f>
        <v>0</v>
      </c>
      <c r="U15" s="91"/>
      <c r="V15" s="91"/>
      <c r="W15" s="92">
        <f>IFERROR(AVERAGEIFS('Class Results'!W$10:W$362,'Class Results'!$A$10:$A$362,$A15, 'Class Results'!$C$10:$C$362,$B15),"")</f>
        <v>7.25</v>
      </c>
    </row>
    <row r="16" ht="19.95" customHeight="1" spans="1:23" x14ac:dyDescent="0.25">
      <c r="A16" s="85" t="s">
        <v>8</v>
      </c>
      <c r="B16" s="94" t="s">
        <v>72</v>
      </c>
      <c r="C16" s="94">
        <f>SUMIFS('Class Results'!D$10:D$362,'Class Results'!$A$10:$A$362,$A16, 'Class Results'!$C$10:$C$362,$B16)</f>
        <v>4</v>
      </c>
      <c r="D16" s="94">
        <f>SUMIFS('Class Results'!E$10:E$362,'Class Results'!$A$10:$A$362,$A16, 'Class Results'!$C$10:$C$362,$B16)</f>
        <v>4</v>
      </c>
      <c r="E16" s="94">
        <f>SUMIFS('Class Results'!F$10:F$362,'Class Results'!$A$10:$A$362,$A16, 'Class Results'!$C$10:$C$362,$B16)</f>
        <v>4</v>
      </c>
      <c r="F16" s="94">
        <f>SUMIFS('Class Results'!G$10:G$362,'Class Results'!$A$10:$A$362,$A16, 'Class Results'!$C$10:$C$362,$B16)</f>
        <v>0</v>
      </c>
      <c r="G16" s="94">
        <f>SUMIFS('Class Results'!H$10:H$362,'Class Results'!$A$10:$A$362,$A16, 'Class Results'!$C$10:$C$362,$B16)</f>
        <v>2</v>
      </c>
      <c r="H16" s="94">
        <f>SUMIFS('Class Results'!I$10:I$362,'Class Results'!$A$10:$A$362,$A16, 'Class Results'!$C$10:$C$362,$B16)</f>
        <v>2</v>
      </c>
      <c r="I16" s="94">
        <f>SUMIFS('Class Results'!J$10:J$362,'Class Results'!$A$10:$A$362,$A16, 'Class Results'!$C$10:$C$362,$B16)</f>
        <v>0</v>
      </c>
      <c r="J16" s="95">
        <f>SUMIFS('Class Results'!K$10:K$362,'Class Results'!$A$10:$A$362,$A16, 'Class Results'!$C$10:$C$362,$B16)</f>
        <v>0</v>
      </c>
      <c r="L16" s="100">
        <f>SUMIFS('Class Results'!L$10:L$362,'Class Results'!$A$10:$A$362,$A16, 'Class Results'!$C$10:$C$362,$B16)</f>
        <v>2</v>
      </c>
      <c r="M16" s="101">
        <f>SUMIFS('Class Results'!M$10:M$362,'Class Results'!$A$10:$A$362,$A16, 'Class Results'!$C$10:$C$362,$B16)</f>
        <v>4</v>
      </c>
      <c r="N16" s="101">
        <f>SUMIFS('Class Results'!N$10:N$362,'Class Results'!$A$10:$A$362,$A16, 'Class Results'!$C$10:$C$362,$B16)</f>
        <v>3</v>
      </c>
      <c r="O16" s="101">
        <f>SUMIFS('Class Results'!O$10:O$362,'Class Results'!$A$10:$A$362,$A16, 'Class Results'!$C$10:$C$362,$B16)</f>
        <v>2</v>
      </c>
      <c r="P16" s="101">
        <f>SUMIFS('Class Results'!P$10:P$362,'Class Results'!$A$10:$A$362,$A16, 'Class Results'!$C$10:$C$362,$B16)</f>
        <v>1</v>
      </c>
      <c r="Q16" s="101">
        <f>SUMIFS('Class Results'!Q$10:Q$362,'Class Results'!$A$10:$A$362,$A16, 'Class Results'!$C$10:$C$362,$B16)</f>
        <v>0</v>
      </c>
      <c r="R16" s="101">
        <f>SUMIFS('Class Results'!R$10:R$362,'Class Results'!$A$10:$A$362,$A16, 'Class Results'!$C$10:$C$362,$B16)</f>
        <v>0</v>
      </c>
      <c r="S16" s="101">
        <f>SUMIFS('Class Results'!S$10:S$362,'Class Results'!$A$10:$A$362,$A16, 'Class Results'!$C$10:$C$362,$B16)</f>
        <v>0</v>
      </c>
      <c r="T16" s="102">
        <f>IFERROR(AVERAGEIFS('Class Results'!T$10:T$362,'Class Results'!$A$10:$A$362,$A16, 'Class Results'!$C$10:$C$362,$B16),"")</f>
        <v>0</v>
      </c>
      <c r="U16" s="102"/>
      <c r="V16" s="102"/>
      <c r="W16" s="103">
        <f>IFERROR(AVERAGEIFS('Class Results'!W$10:W$362,'Class Results'!$A$10:$A$362,$A16, 'Class Results'!$C$10:$C$362,$B16),"")</f>
        <v>9.75</v>
      </c>
    </row>
    <row r="17" ht="19.95" customHeight="1" spans="12:23" x14ac:dyDescent="0.25"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</row>
    <row r="18" ht="19.95" customHeight="1" spans="1:23" x14ac:dyDescent="0.25">
      <c r="A18" s="105" t="s">
        <v>79</v>
      </c>
      <c r="B18" s="106"/>
      <c r="C18" s="74" t="s">
        <v>11</v>
      </c>
      <c r="D18" s="75" t="s">
        <v>12</v>
      </c>
      <c r="E18" s="24" t="s">
        <v>13</v>
      </c>
      <c r="F18" s="107" t="s">
        <v>12</v>
      </c>
      <c r="G18" s="108"/>
      <c r="H18" s="108"/>
      <c r="I18" s="108"/>
      <c r="J18" s="109"/>
      <c r="L18" s="76" t="s">
        <v>80</v>
      </c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77" t="s">
        <v>34</v>
      </c>
    </row>
    <row r="19" ht="38.4" customHeight="1" spans="1:23" x14ac:dyDescent="0.25">
      <c r="A19" s="110"/>
      <c r="B19" s="111"/>
      <c r="C19" s="112"/>
      <c r="D19" s="37"/>
      <c r="E19" s="113"/>
      <c r="F19" s="114" t="s">
        <v>18</v>
      </c>
      <c r="G19" s="114" t="s">
        <v>19</v>
      </c>
      <c r="H19" s="37" t="s">
        <v>20</v>
      </c>
      <c r="I19" s="37" t="s">
        <v>21</v>
      </c>
      <c r="J19" s="115" t="s">
        <v>22</v>
      </c>
      <c r="L19" s="83" t="s">
        <v>23</v>
      </c>
      <c r="M19" s="35" t="s">
        <v>24</v>
      </c>
      <c r="N19" s="35" t="s">
        <v>25</v>
      </c>
      <c r="O19" s="35" t="s">
        <v>26</v>
      </c>
      <c r="P19" s="35" t="s">
        <v>27</v>
      </c>
      <c r="Q19" s="35" t="s">
        <v>28</v>
      </c>
      <c r="R19" s="35" t="s">
        <v>29</v>
      </c>
      <c r="S19" s="35" t="s">
        <v>30</v>
      </c>
      <c r="T19" s="35" t="s">
        <v>31</v>
      </c>
      <c r="U19" s="35" t="s">
        <v>32</v>
      </c>
      <c r="V19" s="35" t="s">
        <v>33</v>
      </c>
      <c r="W19" s="84"/>
    </row>
    <row r="20" ht="19.95" customHeight="1" spans="1:23" x14ac:dyDescent="0.25">
      <c r="A20" s="116" t="s">
        <v>81</v>
      </c>
      <c r="B20" s="117"/>
      <c r="C20" s="118">
        <f t="shared" ref="C20:J20" si="0">C11+C12</f>
        <v>6</v>
      </c>
      <c r="D20" s="118">
        <f t="shared" si="0"/>
        <v>7</v>
      </c>
      <c r="E20" s="118">
        <f t="shared" si="0"/>
        <v>7</v>
      </c>
      <c r="F20" s="118">
        <f t="shared" ref="F20:G20" si="1">F11+F12</f>
        <v>0</v>
      </c>
      <c r="G20" s="118">
        <f t="shared" si="1"/>
        <v>3</v>
      </c>
      <c r="H20" s="118">
        <f t="shared" si="0"/>
        <v>3</v>
      </c>
      <c r="I20" s="118">
        <f t="shared" si="0"/>
        <v>1</v>
      </c>
      <c r="J20" s="119">
        <f t="shared" si="0"/>
        <v>0</v>
      </c>
      <c r="L20" s="120">
        <f>L11+L12</f>
        <v>0</v>
      </c>
      <c r="M20" s="121">
        <f t="shared" ref="M20:S20" si="2">M11+M12</f>
        <v>3</v>
      </c>
      <c r="N20" s="121">
        <f t="shared" si="2"/>
        <v>3</v>
      </c>
      <c r="O20" s="121">
        <f t="shared" si="2"/>
        <v>0</v>
      </c>
      <c r="P20" s="121">
        <f t="shared" si="2"/>
        <v>1</v>
      </c>
      <c r="Q20" s="121">
        <f t="shared" si="2"/>
        <v>5</v>
      </c>
      <c r="R20" s="121">
        <f t="shared" si="2"/>
        <v>3</v>
      </c>
      <c r="S20" s="121">
        <f t="shared" si="2"/>
        <v>4</v>
      </c>
      <c r="T20" s="122">
        <f t="shared" ref="T20:V20" si="3">T11+T12</f>
        <v>0</v>
      </c>
      <c r="U20" s="122">
        <f t="shared" si="3"/>
        <v>0</v>
      </c>
      <c r="V20" s="122">
        <f t="shared" si="3"/>
        <v>0</v>
      </c>
      <c r="W20" s="92">
        <f>IFERROR(AVERAGE(W11:W12),"")</f>
        <v>20.29</v>
      </c>
    </row>
    <row r="21" ht="19.95" customHeight="1" spans="1:23" x14ac:dyDescent="0.25">
      <c r="A21" s="93" t="s">
        <v>82</v>
      </c>
      <c r="B21" s="94"/>
      <c r="C21" s="90">
        <f t="shared" ref="C21:J21" si="4">C13+C14</f>
        <v>9</v>
      </c>
      <c r="D21" s="90">
        <f t="shared" si="4"/>
        <v>9</v>
      </c>
      <c r="E21" s="90">
        <f t="shared" si="4"/>
        <v>9</v>
      </c>
      <c r="F21" s="90">
        <f t="shared" ref="F21:G21" si="5">F13+F14</f>
        <v>2</v>
      </c>
      <c r="G21" s="90">
        <f t="shared" si="5"/>
        <v>1</v>
      </c>
      <c r="H21" s="90">
        <f t="shared" si="4"/>
        <v>2</v>
      </c>
      <c r="I21" s="90">
        <f t="shared" si="4"/>
        <v>3</v>
      </c>
      <c r="J21" s="123">
        <f t="shared" si="4"/>
        <v>1</v>
      </c>
      <c r="L21" s="120">
        <f>L13+L14</f>
        <v>0</v>
      </c>
      <c r="M21" s="121">
        <f t="shared" ref="M21:S21" si="6">M13+M14</f>
        <v>6</v>
      </c>
      <c r="N21" s="121">
        <f t="shared" si="6"/>
        <v>2</v>
      </c>
      <c r="O21" s="121">
        <f t="shared" si="6"/>
        <v>5</v>
      </c>
      <c r="P21" s="121">
        <f t="shared" si="6"/>
        <v>3</v>
      </c>
      <c r="Q21" s="121">
        <f t="shared" si="6"/>
        <v>1</v>
      </c>
      <c r="R21" s="121">
        <f t="shared" si="6"/>
        <v>4</v>
      </c>
      <c r="S21" s="121">
        <f t="shared" si="6"/>
        <v>3</v>
      </c>
      <c r="T21" s="121">
        <f t="shared" ref="T21:V21" si="7">T13+T14</f>
        <v>8</v>
      </c>
      <c r="U21" s="121">
        <f t="shared" si="7"/>
        <v>9</v>
      </c>
      <c r="V21" s="121">
        <f t="shared" si="7"/>
        <v>9</v>
      </c>
      <c r="W21" s="92">
        <f>IFERROR(AVERAGE(W13:W14),"")</f>
        <v>13.775</v>
      </c>
    </row>
    <row r="22" ht="19.95" customHeight="1" spans="1:23" x14ac:dyDescent="0.25">
      <c r="A22" s="93" t="s">
        <v>83</v>
      </c>
      <c r="B22" s="94"/>
      <c r="C22" s="90">
        <f t="shared" ref="C22:J22" si="8">C15+C16</f>
        <v>8</v>
      </c>
      <c r="D22" s="90">
        <f t="shared" si="8"/>
        <v>8</v>
      </c>
      <c r="E22" s="90">
        <f t="shared" si="8"/>
        <v>8</v>
      </c>
      <c r="F22" s="90">
        <f t="shared" ref="F22:G22" si="9">F15+F16</f>
        <v>0</v>
      </c>
      <c r="G22" s="90">
        <f t="shared" si="9"/>
        <v>5</v>
      </c>
      <c r="H22" s="90">
        <f t="shared" si="8"/>
        <v>3</v>
      </c>
      <c r="I22" s="90">
        <f t="shared" si="8"/>
        <v>0</v>
      </c>
      <c r="J22" s="123">
        <f t="shared" si="8"/>
        <v>0</v>
      </c>
      <c r="L22" s="124">
        <f>L15+L16</f>
        <v>5</v>
      </c>
      <c r="M22" s="125">
        <f t="shared" ref="M22:S22" si="10">M15+M16</f>
        <v>8</v>
      </c>
      <c r="N22" s="125">
        <f t="shared" si="10"/>
        <v>7</v>
      </c>
      <c r="O22" s="125">
        <f t="shared" si="10"/>
        <v>3</v>
      </c>
      <c r="P22" s="125">
        <f t="shared" si="10"/>
        <v>1</v>
      </c>
      <c r="Q22" s="125">
        <f t="shared" si="10"/>
        <v>0</v>
      </c>
      <c r="R22" s="125">
        <f t="shared" si="10"/>
        <v>0</v>
      </c>
      <c r="S22" s="125">
        <f t="shared" si="10"/>
        <v>0</v>
      </c>
      <c r="T22" s="126">
        <v>0</v>
      </c>
      <c r="U22" s="126">
        <f t="shared" ref="U22:V22" si="11">U15+U16</f>
        <v>0</v>
      </c>
      <c r="V22" s="126">
        <f t="shared" si="11"/>
        <v>0</v>
      </c>
      <c r="W22" s="103">
        <f>IFERROR(AVERAGE(W15:W16),"")</f>
        <v>8.5</v>
      </c>
    </row>
    <row r="23" ht="19.95" customHeight="1" spans="1:23" x14ac:dyDescent="0.25">
      <c r="A23" s="127" t="s">
        <v>84</v>
      </c>
      <c r="B23" s="128"/>
      <c r="C23" s="129">
        <f t="shared" ref="C23:J23" si="12">SUM(C20:C22)</f>
        <v>23</v>
      </c>
      <c r="D23" s="129">
        <f t="shared" si="12"/>
        <v>24</v>
      </c>
      <c r="E23" s="129">
        <f t="shared" si="12"/>
        <v>24</v>
      </c>
      <c r="F23" s="129">
        <f t="shared" ref="F23:G23" si="13">SUM(F20:F22)</f>
        <v>2</v>
      </c>
      <c r="G23" s="129">
        <f t="shared" si="13"/>
        <v>9</v>
      </c>
      <c r="H23" s="129">
        <f t="shared" si="12"/>
        <v>8</v>
      </c>
      <c r="I23" s="129">
        <f t="shared" si="12"/>
        <v>4</v>
      </c>
      <c r="J23" s="130">
        <f t="shared" si="12"/>
        <v>1</v>
      </c>
      <c r="L23" s="131">
        <f>L20+L21+L22</f>
        <v>5</v>
      </c>
      <c r="M23" s="132">
        <f t="shared" ref="M23:S23" si="14">M20+M21+M22</f>
        <v>17</v>
      </c>
      <c r="N23" s="132">
        <f t="shared" si="14"/>
        <v>12</v>
      </c>
      <c r="O23" s="132">
        <f t="shared" si="14"/>
        <v>8</v>
      </c>
      <c r="P23" s="132">
        <f t="shared" si="14"/>
        <v>5</v>
      </c>
      <c r="Q23" s="132">
        <f t="shared" si="14"/>
        <v>6</v>
      </c>
      <c r="R23" s="132">
        <f t="shared" si="14"/>
        <v>7</v>
      </c>
      <c r="S23" s="132">
        <f t="shared" si="14"/>
        <v>7</v>
      </c>
      <c r="T23" s="132">
        <f t="shared" ref="T23" si="15">T20+T21+T22</f>
        <v>8</v>
      </c>
      <c r="U23" s="132">
        <f t="shared" ref="U23" si="16">U20+U21+U22</f>
        <v>9</v>
      </c>
      <c r="V23" s="132">
        <f t="shared" ref="V23" si="17">V20+V21+V22</f>
        <v>9</v>
      </c>
      <c r="W23" s="133">
        <f>IFERROR(AVERAGE(W20:W22),"")</f>
        <v>14.188333333333333</v>
      </c>
    </row>
    <row r="24" ht="20.4" customHeight="1" spans="1:10" x14ac:dyDescent="0.25">
      <c r="A24" s="134"/>
      <c r="B24" s="134"/>
      <c r="C24" s="135"/>
      <c r="D24" s="136"/>
      <c r="E24" s="137"/>
      <c r="F24" s="136"/>
      <c r="G24" s="136"/>
      <c r="H24" s="136"/>
      <c r="I24" s="136"/>
      <c r="J24" s="136"/>
    </row>
    <row r="25" ht="19.95" customHeight="1" spans="6:23" x14ac:dyDescent="0.25">
      <c r="F25" s="138" t="s">
        <v>85</v>
      </c>
      <c r="G25" s="139"/>
      <c r="H25" s="139"/>
      <c r="I25" s="139"/>
      <c r="J25" s="140"/>
      <c r="L25" s="76" t="s">
        <v>86</v>
      </c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141"/>
    </row>
    <row r="26" ht="35.4" customHeight="1" spans="4:23" x14ac:dyDescent="0.25">
      <c r="D26" s="142" t="s">
        <v>10</v>
      </c>
      <c r="E26" s="143" t="s">
        <v>17</v>
      </c>
      <c r="F26" s="144" t="s">
        <v>18</v>
      </c>
      <c r="G26" s="144" t="s">
        <v>19</v>
      </c>
      <c r="H26" s="145" t="s">
        <v>20</v>
      </c>
      <c r="I26" s="145" t="s">
        <v>21</v>
      </c>
      <c r="J26" s="146" t="s">
        <v>22</v>
      </c>
      <c r="L26" s="83" t="s">
        <v>23</v>
      </c>
      <c r="M26" s="35" t="s">
        <v>24</v>
      </c>
      <c r="N26" s="35" t="s">
        <v>25</v>
      </c>
      <c r="O26" s="35" t="s">
        <v>26</v>
      </c>
      <c r="P26" s="35" t="s">
        <v>27</v>
      </c>
      <c r="Q26" s="35" t="s">
        <v>28</v>
      </c>
      <c r="R26" s="35" t="s">
        <v>29</v>
      </c>
      <c r="S26" s="35" t="s">
        <v>30</v>
      </c>
      <c r="T26" s="35" t="s">
        <v>31</v>
      </c>
      <c r="U26" s="35" t="s">
        <v>32</v>
      </c>
      <c r="V26" s="35" t="s">
        <v>33</v>
      </c>
      <c r="W26" s="84" t="s">
        <v>87</v>
      </c>
    </row>
    <row r="27" ht="19.95" customHeight="1" spans="4:23" x14ac:dyDescent="0.25">
      <c r="D27" s="93" t="s">
        <v>6</v>
      </c>
      <c r="E27" s="94" t="s">
        <v>71</v>
      </c>
      <c r="F27" s="147">
        <f t="shared" ref="F27:G27" si="18">IFERROR(F11/$D11,"")</f>
        <v>0</v>
      </c>
      <c r="G27" s="147">
        <f t="shared" si="18"/>
        <v>0</v>
      </c>
      <c r="H27" s="147">
        <f>IFERROR(H11/$D11,"")</f>
        <v>0.6666666666666666</v>
      </c>
      <c r="I27" s="147">
        <f t="shared" ref="I27:J27" si="19">IFERROR(I11/$D11,"")</f>
        <v>0.3333333333333333</v>
      </c>
      <c r="J27" s="148">
        <f t="shared" si="19"/>
        <v>0</v>
      </c>
      <c r="L27" s="149">
        <f t="shared" ref="L27:L32" si="20">IFERROR(L11/$D11,"")</f>
        <v>0</v>
      </c>
      <c r="M27" s="147">
        <f t="shared" ref="M27:S27" si="21">IFERROR(M11/$D11,"")</f>
        <v>0.3333333333333333</v>
      </c>
      <c r="N27" s="147">
        <f t="shared" si="21"/>
        <v>0.6666666666666666</v>
      </c>
      <c r="O27" s="147">
        <f t="shared" si="21"/>
        <v>0</v>
      </c>
      <c r="P27" s="147">
        <f t="shared" si="21"/>
        <v>0.3333333333333333</v>
      </c>
      <c r="Q27" s="147">
        <f t="shared" si="21"/>
        <v>1</v>
      </c>
      <c r="R27" s="147">
        <f t="shared" si="21"/>
        <v>0.3333333333333333</v>
      </c>
      <c r="S27" s="147">
        <f t="shared" si="21"/>
        <v>0.6666666666666666</v>
      </c>
      <c r="T27" s="150" t="s">
        <v>73</v>
      </c>
      <c r="U27" s="150"/>
      <c r="V27" s="150"/>
      <c r="W27" s="148">
        <f>IFERROR(W11/$BD$7,"")</f>
        <v>0.7237142857142856</v>
      </c>
    </row>
    <row r="28" ht="19.95" customHeight="1" spans="4:23" x14ac:dyDescent="0.25">
      <c r="D28" s="93"/>
      <c r="E28" s="94" t="s">
        <v>72</v>
      </c>
      <c r="F28" s="147">
        <f t="shared" ref="F28:G28" si="22">IFERROR(F12/$D12,"")</f>
        <v>0</v>
      </c>
      <c r="G28" s="147">
        <f t="shared" si="22"/>
        <v>0.75</v>
      </c>
      <c r="H28" s="147">
        <f t="shared" ref="H28:J28" si="23">IFERROR(H12/$D12,"")</f>
        <v>0.25</v>
      </c>
      <c r="I28" s="147">
        <f t="shared" si="23"/>
        <v>0</v>
      </c>
      <c r="J28" s="148">
        <f t="shared" si="23"/>
        <v>0</v>
      </c>
      <c r="L28" s="149">
        <f t="shared" si="20"/>
        <v>0</v>
      </c>
      <c r="M28" s="147">
        <f t="shared" ref="M28:T28" si="24">IFERROR(M12/$D12,"")</f>
        <v>0.5</v>
      </c>
      <c r="N28" s="147">
        <f t="shared" si="24"/>
        <v>0.25</v>
      </c>
      <c r="O28" s="147">
        <f t="shared" si="24"/>
        <v>0</v>
      </c>
      <c r="P28" s="147">
        <f t="shared" si="24"/>
        <v>0</v>
      </c>
      <c r="Q28" s="147">
        <f t="shared" si="24"/>
        <v>0.5</v>
      </c>
      <c r="R28" s="147">
        <f t="shared" si="24"/>
        <v>0.5</v>
      </c>
      <c r="S28" s="147">
        <f t="shared" si="24"/>
        <v>0.5</v>
      </c>
      <c r="T28" s="150">
        <f t="shared" si="24"/>
        <v>0</v>
      </c>
      <c r="U28" s="150"/>
      <c r="V28" s="150"/>
      <c r="W28" s="148">
        <f>IFERROR(W12/$BD$7,"")</f>
        <v>0.4357142857142857</v>
      </c>
    </row>
    <row r="29" ht="19.95" customHeight="1" spans="3:23" x14ac:dyDescent="0.25">
      <c r="C29" s="1" t="s">
        <v>73</v>
      </c>
      <c r="D29" s="93" t="s">
        <v>7</v>
      </c>
      <c r="E29" s="94" t="s">
        <v>71</v>
      </c>
      <c r="F29" s="147">
        <f t="shared" ref="F29:G29" si="25">IFERROR(F13/$D13,"")</f>
        <v>0.5</v>
      </c>
      <c r="G29" s="147">
        <f t="shared" si="25"/>
        <v>0.25</v>
      </c>
      <c r="H29" s="147">
        <f t="shared" ref="H29:J29" si="26">IFERROR(H13/$D13,"")</f>
        <v>0.25</v>
      </c>
      <c r="I29" s="147">
        <f t="shared" si="26"/>
        <v>0</v>
      </c>
      <c r="J29" s="148">
        <f t="shared" si="26"/>
        <v>0</v>
      </c>
      <c r="L29" s="149">
        <f t="shared" si="20"/>
        <v>0</v>
      </c>
      <c r="M29" s="147">
        <f t="shared" ref="M29:V29" si="27">IFERROR(M13/$D13,"")</f>
        <v>0.25</v>
      </c>
      <c r="N29" s="147">
        <f t="shared" si="27"/>
        <v>0.25</v>
      </c>
      <c r="O29" s="147">
        <f t="shared" si="27"/>
        <v>0.25</v>
      </c>
      <c r="P29" s="147">
        <f t="shared" si="27"/>
        <v>0</v>
      </c>
      <c r="Q29" s="147">
        <f t="shared" si="27"/>
        <v>0</v>
      </c>
      <c r="R29" s="147">
        <f t="shared" si="27"/>
        <v>0</v>
      </c>
      <c r="S29" s="147">
        <f t="shared" si="27"/>
        <v>0</v>
      </c>
      <c r="T29" s="147">
        <f t="shared" si="27"/>
        <v>0.75</v>
      </c>
      <c r="U29" s="147">
        <f t="shared" si="27"/>
        <v>1</v>
      </c>
      <c r="V29" s="147">
        <f t="shared" si="27"/>
        <v>1</v>
      </c>
      <c r="W29" s="148">
        <f>IFERROR(W13/$BD$8,"")</f>
        <v>0.35</v>
      </c>
    </row>
    <row r="30" ht="19.95" customHeight="1" spans="3:23" x14ac:dyDescent="0.25">
      <c r="C30" s="1"/>
      <c r="D30" s="93"/>
      <c r="E30" s="94" t="s">
        <v>72</v>
      </c>
      <c r="F30" s="147">
        <f t="shared" ref="F30:G30" si="28">IFERROR(F14/$D14,"")</f>
        <v>0</v>
      </c>
      <c r="G30" s="147">
        <f t="shared" si="28"/>
        <v>0</v>
      </c>
      <c r="H30" s="147">
        <f t="shared" ref="H30:J30" si="29">IFERROR(H14/$D14,"")</f>
        <v>0.2</v>
      </c>
      <c r="I30" s="147">
        <f t="shared" si="29"/>
        <v>0.6</v>
      </c>
      <c r="J30" s="148">
        <f t="shared" si="29"/>
        <v>0.2</v>
      </c>
      <c r="L30" s="149">
        <f t="shared" si="20"/>
        <v>0</v>
      </c>
      <c r="M30" s="147">
        <f t="shared" ref="M30:V30" si="30">IFERROR(M14/$D14,"")</f>
        <v>1</v>
      </c>
      <c r="N30" s="147">
        <f t="shared" si="30"/>
        <v>0.2</v>
      </c>
      <c r="O30" s="147">
        <f t="shared" si="30"/>
        <v>0.8</v>
      </c>
      <c r="P30" s="147">
        <f t="shared" si="30"/>
        <v>0.6</v>
      </c>
      <c r="Q30" s="147">
        <f t="shared" si="30"/>
        <v>0.2</v>
      </c>
      <c r="R30" s="147">
        <f t="shared" si="30"/>
        <v>0.8</v>
      </c>
      <c r="S30" s="147">
        <f t="shared" si="30"/>
        <v>0.6</v>
      </c>
      <c r="T30" s="147">
        <f t="shared" si="30"/>
        <v>1</v>
      </c>
      <c r="U30" s="147">
        <f t="shared" si="30"/>
        <v>1</v>
      </c>
      <c r="V30" s="147">
        <f t="shared" si="30"/>
        <v>1</v>
      </c>
      <c r="W30" s="148">
        <f>IFERROR(W14/$BD$8,"")</f>
        <v>0.752</v>
      </c>
    </row>
    <row r="31" ht="19.95" customHeight="1" spans="3:23" x14ac:dyDescent="0.25">
      <c r="C31" s="1" t="s">
        <v>73</v>
      </c>
      <c r="D31" s="93" t="s">
        <v>8</v>
      </c>
      <c r="E31" s="94" t="s">
        <v>71</v>
      </c>
      <c r="F31" s="147">
        <f t="shared" ref="F31:G31" si="31">IFERROR(F15/$D15,"")</f>
        <v>0</v>
      </c>
      <c r="G31" s="147">
        <f t="shared" si="31"/>
        <v>0.75</v>
      </c>
      <c r="H31" s="147">
        <f t="shared" ref="H31:J31" si="32">IFERROR(H15/$D15,"")</f>
        <v>0.25</v>
      </c>
      <c r="I31" s="147">
        <f t="shared" si="32"/>
        <v>0</v>
      </c>
      <c r="J31" s="148">
        <f t="shared" si="32"/>
        <v>0</v>
      </c>
      <c r="L31" s="151">
        <f t="shared" si="20"/>
        <v>0.75</v>
      </c>
      <c r="M31" s="147">
        <f t="shared" ref="M31:S31" si="33">IFERROR(M15/$D15,"")</f>
        <v>1</v>
      </c>
      <c r="N31" s="147">
        <f t="shared" si="33"/>
        <v>1</v>
      </c>
      <c r="O31" s="147">
        <f t="shared" si="33"/>
        <v>0.25</v>
      </c>
      <c r="P31" s="147">
        <f t="shared" si="33"/>
        <v>0</v>
      </c>
      <c r="Q31" s="147">
        <f t="shared" si="33"/>
        <v>0</v>
      </c>
      <c r="R31" s="147">
        <f t="shared" si="33"/>
        <v>0</v>
      </c>
      <c r="S31" s="147">
        <f t="shared" si="33"/>
        <v>0</v>
      </c>
      <c r="T31" s="150">
        <f>IFERROR(T15/AL$13,"")</f>
      </c>
      <c r="U31" s="150"/>
      <c r="V31" s="150"/>
      <c r="W31" s="148">
        <f>IFERROR(W15/$BD$9,"")</f>
        <v>0.3625</v>
      </c>
    </row>
    <row r="32" ht="19.95" customHeight="1" spans="3:23" x14ac:dyDescent="0.25">
      <c r="C32" s="1"/>
      <c r="D32" s="69"/>
      <c r="E32" s="70" t="s">
        <v>72</v>
      </c>
      <c r="F32" s="152">
        <f t="shared" ref="F32:G32" si="34">IFERROR(F16/$D16,"")</f>
        <v>0</v>
      </c>
      <c r="G32" s="152">
        <f t="shared" si="34"/>
        <v>0.5</v>
      </c>
      <c r="H32" s="152">
        <f t="shared" ref="H32:J32" si="35">IFERROR(H16/$D16,"")</f>
        <v>0.5</v>
      </c>
      <c r="I32" s="152">
        <f t="shared" si="35"/>
        <v>0</v>
      </c>
      <c r="J32" s="153">
        <f t="shared" si="35"/>
        <v>0</v>
      </c>
      <c r="L32" s="149">
        <f t="shared" si="20"/>
        <v>0.5</v>
      </c>
      <c r="M32" s="152">
        <f t="shared" ref="M32:S32" si="36">IFERROR(M16/$D16,"")</f>
        <v>1</v>
      </c>
      <c r="N32" s="152">
        <f t="shared" si="36"/>
        <v>0.75</v>
      </c>
      <c r="O32" s="152">
        <f t="shared" si="36"/>
        <v>0.5</v>
      </c>
      <c r="P32" s="152">
        <f t="shared" si="36"/>
        <v>0.25</v>
      </c>
      <c r="Q32" s="152">
        <f t="shared" si="36"/>
        <v>0</v>
      </c>
      <c r="R32" s="152">
        <f t="shared" si="36"/>
        <v>0</v>
      </c>
      <c r="S32" s="152">
        <f t="shared" si="36"/>
        <v>0</v>
      </c>
      <c r="T32" s="154">
        <f>IFERROR(T16/AL$13,"")</f>
      </c>
      <c r="U32" s="154"/>
      <c r="V32" s="154"/>
      <c r="W32" s="153">
        <f>IFERROR(W16/$BD$9,"")</f>
        <v>0.4875</v>
      </c>
    </row>
    <row r="33" ht="19.95" customHeight="1" x14ac:dyDescent="0.25"/>
    <row r="34" ht="19.95" customHeight="1" x14ac:dyDescent="0.25"/>
    <row r="35" ht="19.95" customHeight="1" x14ac:dyDescent="0.25"/>
    <row r="36" ht="19.95" customHeight="1" x14ac:dyDescent="0.25"/>
    <row r="37" ht="19.95" customHeight="1" x14ac:dyDescent="0.25"/>
    <row r="38" ht="19.95" customHeight="1" x14ac:dyDescent="0.25"/>
    <row r="39" ht="19.95" customHeight="1" x14ac:dyDescent="0.25"/>
    <row r="40" ht="19.95" customHeight="1" x14ac:dyDescent="0.25"/>
    <row r="41" ht="19.95" customHeight="1" x14ac:dyDescent="0.25"/>
    <row r="42" ht="19.95" customHeight="1" x14ac:dyDescent="0.25"/>
    <row r="43" ht="14.4" customHeight="1" x14ac:dyDescent="0.25"/>
    <row r="44" ht="14.4" customHeight="1" spans="11:37" x14ac:dyDescent="0.25">
      <c r="K44" s="155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J44" s="1"/>
      <c r="AK44" s="1"/>
    </row>
    <row r="45" ht="14.4" customHeight="1" spans="11:37" x14ac:dyDescent="0.25"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7"/>
      <c r="AF45" s="157"/>
      <c r="AG45" s="157"/>
      <c r="AH45" s="158"/>
      <c r="AI45" s="158"/>
      <c r="AJ45" s="1"/>
      <c r="AK45" s="1"/>
    </row>
    <row r="46" ht="14.4" customHeight="1" spans="11:37" x14ac:dyDescent="0.25"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  <c r="AB46" s="159"/>
      <c r="AC46" s="159"/>
      <c r="AD46" s="159"/>
      <c r="AE46" s="159"/>
      <c r="AF46" s="159"/>
      <c r="AG46" s="159"/>
      <c r="AH46" s="160"/>
      <c r="AI46" s="160"/>
      <c r="AJ46" s="1"/>
      <c r="AK46" s="1"/>
    </row>
    <row r="47" ht="14.4" customHeight="1" spans="11:37" x14ac:dyDescent="0.25"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  <c r="AB47" s="159"/>
      <c r="AC47" s="159"/>
      <c r="AD47" s="159"/>
      <c r="AE47" s="159"/>
      <c r="AF47" s="159"/>
      <c r="AG47" s="159"/>
      <c r="AH47" s="160"/>
      <c r="AI47" s="160"/>
      <c r="AJ47" s="1"/>
      <c r="AK47" s="1"/>
    </row>
    <row r="48" ht="14.4" customHeight="1" spans="11:37" x14ac:dyDescent="0.25"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60">
        <f>IFERROR(#REF!/$H$14,"")</f>
      </c>
      <c r="AI48" s="160">
        <f>IFERROR(#REF!/$H$14,"")</f>
      </c>
      <c r="AJ48" s="1"/>
      <c r="AK48" s="1"/>
    </row>
    <row r="49" ht="14.4" customHeight="1" spans="11:37" x14ac:dyDescent="0.25"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60"/>
      <c r="AI49" s="160"/>
      <c r="AJ49" s="1"/>
      <c r="AK49" s="1"/>
    </row>
    <row r="50" ht="14.4" customHeight="1" spans="11:37" x14ac:dyDescent="0.25"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60"/>
      <c r="AI50" s="160"/>
      <c r="AJ50" s="1"/>
      <c r="AK50" s="1"/>
    </row>
    <row r="51" ht="14.4" customHeight="1" spans="11:37" x14ac:dyDescent="0.25"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60"/>
      <c r="AI51" s="160"/>
      <c r="AJ51" s="1"/>
      <c r="AK51" s="1"/>
    </row>
    <row r="52" ht="14.4" customHeight="1" spans="11:37" x14ac:dyDescent="0.25"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60"/>
      <c r="AI52" s="160"/>
      <c r="AJ52" s="1"/>
      <c r="AK52" s="1"/>
    </row>
    <row r="53" ht="14.4" customHeight="1" spans="11:37" x14ac:dyDescent="0.25"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159"/>
      <c r="AC53" s="159"/>
      <c r="AD53" s="159"/>
      <c r="AE53" s="159"/>
      <c r="AF53" s="159"/>
      <c r="AG53" s="159"/>
      <c r="AH53" s="160"/>
      <c r="AI53" s="160"/>
      <c r="AJ53" s="1"/>
      <c r="AK53" s="1"/>
    </row>
    <row r="54" ht="14.4" customHeight="1" spans="11:37" x14ac:dyDescent="0.25"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60"/>
      <c r="AI54" s="160"/>
      <c r="AJ54" s="1"/>
      <c r="AK54" s="1"/>
    </row>
    <row r="55" ht="14.4" customHeight="1" spans="11:37" x14ac:dyDescent="0.25"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59"/>
      <c r="AH55" s="160"/>
      <c r="AI55" s="160"/>
      <c r="AJ55" s="1"/>
      <c r="AK55" s="1"/>
    </row>
    <row r="56" ht="14.4" customHeight="1" spans="11:37" x14ac:dyDescent="0.25"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60"/>
      <c r="AI56" s="160"/>
      <c r="AJ56" s="1"/>
      <c r="AK56" s="1"/>
    </row>
    <row r="57" ht="14.4" customHeight="1" spans="11:37" x14ac:dyDescent="0.25"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60"/>
      <c r="AI57" s="160"/>
      <c r="AJ57" s="1"/>
      <c r="AK57" s="1"/>
    </row>
    <row r="58" ht="14.4" customHeight="1" spans="11:37" x14ac:dyDescent="0.25"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60"/>
      <c r="AI58" s="160"/>
      <c r="AJ58" s="1"/>
      <c r="AK58" s="1"/>
    </row>
    <row r="59" ht="14.4" customHeight="1" spans="11:37" x14ac:dyDescent="0.25"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60"/>
      <c r="AI59" s="160"/>
      <c r="AJ59" s="1"/>
      <c r="AK59" s="1"/>
    </row>
    <row r="60" ht="14.4" customHeight="1" spans="11:37" x14ac:dyDescent="0.25"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  <c r="AB60" s="159"/>
      <c r="AC60" s="159"/>
      <c r="AD60" s="159"/>
      <c r="AE60" s="159"/>
      <c r="AF60" s="159"/>
      <c r="AG60" s="159"/>
      <c r="AH60" s="160"/>
      <c r="AI60" s="160"/>
      <c r="AJ60" s="1"/>
      <c r="AK60" s="1"/>
    </row>
    <row r="61" ht="14.4" customHeight="1" spans="11:37" x14ac:dyDescent="0.25"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60"/>
      <c r="AI61" s="160"/>
      <c r="AJ61" s="1"/>
      <c r="AK61" s="1"/>
    </row>
    <row r="62" ht="14.4" customHeight="1" spans="11:37" x14ac:dyDescent="0.25"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60"/>
      <c r="AI62" s="160"/>
      <c r="AJ62" s="1"/>
      <c r="AK62" s="1"/>
    </row>
    <row r="63" ht="14.4" customHeight="1" spans="11:37" x14ac:dyDescent="0.25"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  <c r="AB63" s="159"/>
      <c r="AC63" s="159"/>
      <c r="AD63" s="159"/>
      <c r="AE63" s="159"/>
      <c r="AF63" s="159"/>
      <c r="AG63" s="159"/>
      <c r="AH63" s="160"/>
      <c r="AI63" s="160"/>
      <c r="AJ63" s="1"/>
      <c r="AK63" s="1"/>
    </row>
    <row r="64" ht="14.4" customHeight="1" spans="11:37" x14ac:dyDescent="0.25"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  <c r="AB64" s="159"/>
      <c r="AC64" s="159"/>
      <c r="AD64" s="159"/>
      <c r="AE64" s="159"/>
      <c r="AF64" s="159"/>
      <c r="AG64" s="159"/>
      <c r="AH64" s="160"/>
      <c r="AI64" s="160"/>
      <c r="AJ64" s="1"/>
      <c r="AK64" s="1"/>
    </row>
    <row r="65" ht="14.4" customHeight="1" spans="11:37" x14ac:dyDescent="0.25"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9"/>
      <c r="AG65" s="159"/>
      <c r="AH65" s="160"/>
      <c r="AI65" s="160"/>
      <c r="AJ65" s="1"/>
      <c r="AK65" s="1"/>
    </row>
    <row r="66" ht="14.4" customHeight="1" spans="11:33" x14ac:dyDescent="0.25">
      <c r="K66" s="155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5"/>
      <c r="Y66" s="155"/>
      <c r="Z66" s="155"/>
      <c r="AA66" s="155"/>
      <c r="AB66" s="155"/>
      <c r="AC66" s="155"/>
      <c r="AD66" s="155"/>
      <c r="AE66" s="155"/>
      <c r="AF66" s="155"/>
      <c r="AG66" s="155"/>
    </row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07" ht="15" customHeight="1" x14ac:dyDescent="0.25"/>
  </sheetData>
  <sheetProtection sheet="1" selectLockedCells="1" algorithmName="SHA-512" hashValue="auLjVlIwBMxScmoul8jNKBWeHWGwcbX4TAx7lYlAd624yfQ+V8yoqUc5sR8/MtDYryH8jfLtpHCD/Os2x9fsVQ==" saltValue="cBa5VwCtNuwbN6om1qlFPw==" spinCount="100000" objects="1" scenarios="1"/>
  <mergeCells count="32">
    <mergeCell ref="G5:L5"/>
    <mergeCell ref="G6:H6"/>
    <mergeCell ref="I6:J6"/>
    <mergeCell ref="K6:L6"/>
    <mergeCell ref="G7:H7"/>
    <mergeCell ref="I7:J7"/>
    <mergeCell ref="K7:L7"/>
    <mergeCell ref="F9:J9"/>
    <mergeCell ref="L9:V9"/>
    <mergeCell ref="AD9:AN9"/>
    <mergeCell ref="C9:C10"/>
    <mergeCell ref="D9:D10"/>
    <mergeCell ref="E9:E10"/>
    <mergeCell ref="W9:W10"/>
    <mergeCell ref="A18:B19"/>
    <mergeCell ref="F18:J18"/>
    <mergeCell ref="L18:V18"/>
    <mergeCell ref="C18:C19"/>
    <mergeCell ref="D18:D19"/>
    <mergeCell ref="E18:E19"/>
    <mergeCell ref="W18:W19"/>
    <mergeCell ref="A20:B20"/>
    <mergeCell ref="A21:B21"/>
    <mergeCell ref="A22:B22"/>
    <mergeCell ref="A23:B23"/>
    <mergeCell ref="F25:J25"/>
    <mergeCell ref="L25:V25"/>
    <mergeCell ref="D27:D28"/>
    <mergeCell ref="C29:C30"/>
    <mergeCell ref="D29:D30"/>
    <mergeCell ref="C31:C32"/>
    <mergeCell ref="D31:D32"/>
  </mergeCells>
  <dataValidations count="4">
    <dataValidation type="list" allowBlank="1" showInputMessage="1" prompt="Enter Medium of instruction / Language of Instruction" showErrorMessage="1" sqref="E8:L8">
      <formula1>$Z$12:$Z$66</formula1>
    </dataValidation>
    <dataValidation showInputMessage="1" prompt="Enter Medium of instruction / Language of Instruction" showErrorMessage="1" sqref="G7"/>
    <dataValidation showInputMessage="1" prompt="Enter Medium of instruction / Language of Instruction" showErrorMessage="1" sqref="I7"/>
    <dataValidation showInputMessage="1" prompt="Enter Medium of instruction / Language of Instruction" showErrorMessage="1" sqref="K7"/>
  </dataValidations>
  <pageMargins left="0.7" right="0.7" top="0.75" bottom="0.75" header="0.3" footer="0.3"/>
  <pageSetup paperSize="9" orientation="landscape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 Results</vt:lpstr>
      <vt:lpstr>School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Monroy</dc:creator>
  <cp:lastModifiedBy>DELL2022</cp:lastModifiedBy>
  <cp:lastPrinted>2026-06-30T23:09:46Z</cp:lastPrinted>
  <dcterms:created xsi:type="dcterms:W3CDTF">2021-07-15T02:28:12Z</dcterms:created>
  <dcterms:modified xsi:type="dcterms:W3CDTF">2026-06-30T23:11:18Z</dcterms:modified>
</cp:coreProperties>
</file>