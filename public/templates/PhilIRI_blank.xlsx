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 4" state="visible" r:id="rId4"/>
    <sheet sheetId="2" name="Grade 5" state="visible" r:id="rId5"/>
    <sheet sheetId="3" name="Grade 6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<sst xmlns="http://schemas.openxmlformats.org/spreadsheetml/2006/main" count="302" uniqueCount="133">
  <si>
    <t>SCHOOLS</t>
  </si>
  <si>
    <t>ENROLMENT</t>
  </si>
  <si>
    <t>GROUP SCREENING RESULT</t>
  </si>
  <si>
    <t>PHIL-IRI       PASSAGE</t>
  </si>
  <si>
    <t>PRE-TEST</t>
  </si>
  <si>
    <t>POST TEST</t>
  </si>
  <si>
    <t>No. of Pupils who scored above 14</t>
  </si>
  <si>
    <t>No. of Pupils who scored below 14</t>
  </si>
  <si>
    <t>INDEPENDENT</t>
  </si>
  <si>
    <t>INSTRUCTIONAL</t>
  </si>
  <si>
    <t>FRUSTRATION</t>
  </si>
  <si>
    <t>NON-READER</t>
  </si>
  <si>
    <t>MALE</t>
  </si>
  <si>
    <t>FEMALE</t>
  </si>
  <si>
    <t>Mabini  CS</t>
  </si>
  <si>
    <t>I (53)</t>
  </si>
  <si>
    <t>II (94)</t>
  </si>
  <si>
    <t>Anilao ES</t>
  </si>
  <si>
    <t>I(14)</t>
  </si>
  <si>
    <t>II(26)</t>
  </si>
  <si>
    <t>Bagalangit ES</t>
  </si>
  <si>
    <t>I (25)</t>
  </si>
  <si>
    <t>II (27)</t>
  </si>
  <si>
    <t>Gasang ES</t>
  </si>
  <si>
    <t>I (16)</t>
  </si>
  <si>
    <t>II (19)</t>
  </si>
  <si>
    <t>Laurel ES</t>
  </si>
  <si>
    <t>I (11)</t>
  </si>
  <si>
    <t>II (10)</t>
  </si>
  <si>
    <t>Mainaga-San Francisco IS</t>
  </si>
  <si>
    <t>I (36)</t>
  </si>
  <si>
    <t>II( 37 )</t>
  </si>
  <si>
    <t>Mainit ES</t>
  </si>
  <si>
    <t>I (13)</t>
  </si>
  <si>
    <t>II (6)</t>
  </si>
  <si>
    <t>Malimatoc ES</t>
  </si>
  <si>
    <t>11(14)</t>
  </si>
  <si>
    <t>1(13)</t>
  </si>
  <si>
    <t>Nag-iba ES</t>
  </si>
  <si>
    <t>I (8)</t>
  </si>
  <si>
    <t>II (7)</t>
  </si>
  <si>
    <t>Panay ES</t>
  </si>
  <si>
    <t>I (5)</t>
  </si>
  <si>
    <t>II (9)</t>
  </si>
  <si>
    <t>P. Anahao ES</t>
  </si>
  <si>
    <r>
      <rPr>
        <color theme="1"/>
        <sz val="10"/>
        <rFont val="Arial"/>
      </rPr>
      <t>I (</t>
    </r>
    <r>
      <rPr>
        <u/>
        <color theme="1"/>
        <sz val="10"/>
        <rFont val="Arial"/>
      </rPr>
      <t>10</t>
    </r>
    <r>
      <rPr>
        <color theme="1"/>
        <sz val="10"/>
        <rFont val="Arial"/>
      </rPr>
      <t>)</t>
    </r>
  </si>
  <si>
    <r>
      <rPr>
        <color theme="1"/>
        <sz val="10"/>
        <rFont val="Arial"/>
      </rPr>
      <t>II (</t>
    </r>
    <r>
      <rPr>
        <u/>
        <color theme="1"/>
        <sz val="10"/>
        <rFont val="Arial"/>
      </rPr>
      <t>6</t>
    </r>
    <r>
      <rPr>
        <color theme="1"/>
        <sz val="10"/>
        <rFont val="Arial"/>
      </rPr>
      <t>)</t>
    </r>
  </si>
  <si>
    <t>San Jose ES</t>
  </si>
  <si>
    <t>II (2)</t>
  </si>
  <si>
    <t>San Juan-Sto. Nino ES</t>
  </si>
  <si>
    <r>
      <rPr>
        <color theme="1"/>
        <sz val="10"/>
        <rFont val="Arial"/>
      </rPr>
      <t>I (</t>
    </r>
    <r>
      <rPr>
        <u/>
        <color theme="1"/>
        <sz val="10"/>
        <rFont val="Arial"/>
      </rPr>
      <t>17</t>
    </r>
    <r>
      <rPr>
        <color theme="1"/>
        <sz val="10"/>
        <rFont val="Arial"/>
      </rPr>
      <t>)</t>
    </r>
  </si>
  <si>
    <r>
      <rPr>
        <color theme="1"/>
        <sz val="10"/>
        <rFont val="Arial"/>
      </rPr>
      <t>II (</t>
    </r>
    <r>
      <rPr>
        <u/>
        <color theme="1"/>
        <sz val="10"/>
        <rFont val="Arial"/>
      </rPr>
      <t>19</t>
    </r>
    <r>
      <rPr>
        <color theme="1"/>
        <sz val="10"/>
        <rFont val="Arial"/>
      </rPr>
      <t>)</t>
    </r>
  </si>
  <si>
    <t>San Teodoro ES</t>
  </si>
  <si>
    <t>I ( 10 )</t>
  </si>
  <si>
    <t>II ( 21 )</t>
  </si>
  <si>
    <t>Solo ES</t>
  </si>
  <si>
    <t>I (19)</t>
  </si>
  <si>
    <t>II (29)</t>
  </si>
  <si>
    <t>Sta. Mesa ES</t>
  </si>
  <si>
    <r>
      <rPr>
        <color theme="1"/>
        <sz val="10"/>
        <rFont val="Arial"/>
      </rPr>
      <t>I (</t>
    </r>
    <r>
      <rPr>
        <u/>
        <color theme="1"/>
        <sz val="10"/>
        <rFont val="Arial"/>
      </rPr>
      <t>9</t>
    </r>
    <r>
      <rPr>
        <color theme="1"/>
        <sz val="10"/>
        <rFont val="Arial"/>
      </rPr>
      <t>)</t>
    </r>
  </si>
  <si>
    <r>
      <rPr>
        <color theme="1"/>
        <sz val="10"/>
        <rFont val="Arial"/>
      </rPr>
      <t>II (</t>
    </r>
    <r>
      <rPr>
        <u/>
        <color theme="1"/>
        <sz val="10"/>
        <rFont val="Arial"/>
      </rPr>
      <t>3</t>
    </r>
    <r>
      <rPr>
        <color theme="1"/>
        <sz val="10"/>
        <rFont val="Arial"/>
      </rPr>
      <t>)</t>
    </r>
  </si>
  <si>
    <t>Talaga ES</t>
  </si>
  <si>
    <t>I (0)</t>
  </si>
  <si>
    <t>II (18)</t>
  </si>
  <si>
    <t>Total</t>
  </si>
  <si>
    <t>I(267)</t>
  </si>
  <si>
    <t>II (344)</t>
  </si>
  <si>
    <t>II (0)</t>
  </si>
  <si>
    <t>III(82)</t>
  </si>
  <si>
    <t>II (17)</t>
  </si>
  <si>
    <t>III ( 11 )</t>
  </si>
  <si>
    <t>III (8)</t>
  </si>
  <si>
    <t>II ( 19)</t>
  </si>
  <si>
    <t>III (3)</t>
  </si>
  <si>
    <t>II (11)</t>
  </si>
  <si>
    <t>III (12)</t>
  </si>
  <si>
    <t>Mainaiga-San Francisco IS</t>
  </si>
  <si>
    <t>II (52)</t>
  </si>
  <si>
    <t>III (29)</t>
  </si>
  <si>
    <t>II (  9  )</t>
  </si>
  <si>
    <t>III (  5  )</t>
  </si>
  <si>
    <t>II(24)</t>
  </si>
  <si>
    <t>III (5)</t>
  </si>
  <si>
    <t>II (5)</t>
  </si>
  <si>
    <t>III (7)</t>
  </si>
  <si>
    <t>II (1)</t>
  </si>
  <si>
    <t>III (4)</t>
  </si>
  <si>
    <t>III (2)</t>
  </si>
  <si>
    <t>III (14)</t>
  </si>
  <si>
    <t>II ( 6 )</t>
  </si>
  <si>
    <t>III  ( 13 )</t>
  </si>
  <si>
    <t>II (22)</t>
  </si>
  <si>
    <t>III (18)</t>
  </si>
  <si>
    <t>II (  10 )</t>
  </si>
  <si>
    <t>III (20)</t>
  </si>
  <si>
    <t>II(210)</t>
  </si>
  <si>
    <t>III(241)</t>
  </si>
  <si>
    <t>III (27)</t>
  </si>
  <si>
    <t>IV (36)</t>
  </si>
  <si>
    <t>Anila ES</t>
  </si>
  <si>
    <t>III ( 8 )</t>
  </si>
  <si>
    <t>IV ( 6 )</t>
  </si>
  <si>
    <t>III( 7 )</t>
  </si>
  <si>
    <t>IV (17)</t>
  </si>
  <si>
    <t>IV (6)</t>
  </si>
  <si>
    <t>III (6 )</t>
  </si>
  <si>
    <t>IV (8)</t>
  </si>
  <si>
    <t>III (19)</t>
  </si>
  <si>
    <t>IV ( 42 )</t>
  </si>
  <si>
    <t>III (  4  )</t>
  </si>
  <si>
    <t>IV (  5  )</t>
  </si>
  <si>
    <t>III (  9 )</t>
  </si>
  <si>
    <t>IV ( 16)</t>
  </si>
  <si>
    <t>III (  1  )</t>
  </si>
  <si>
    <t>IV (9)</t>
  </si>
  <si>
    <t>IV (7)</t>
  </si>
  <si>
    <t>III (0 )</t>
  </si>
  <si>
    <t>IV (3)</t>
  </si>
  <si>
    <t>IV (11)</t>
  </si>
  <si>
    <t>III (1 )</t>
  </si>
  <si>
    <t>IV (10)</t>
  </si>
  <si>
    <t>III (17)</t>
  </si>
  <si>
    <t>IV (16)</t>
  </si>
  <si>
    <t>III( 2 )</t>
  </si>
  <si>
    <t xml:space="preserve">IV ( 8 ) </t>
  </si>
  <si>
    <t>III (0)</t>
  </si>
  <si>
    <t>IV(12)</t>
  </si>
  <si>
    <t>III(129)</t>
  </si>
  <si>
    <t>IV(213)</t>
  </si>
  <si>
    <t>GRADE LEVEL</t>
  </si>
  <si>
    <t>IV</t>
  </si>
  <si>
    <t>V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</si>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</sst>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scheme val="minor"/>
      <sz val="10"/>
      <name val="Arial"/>
    </font>
    <font/>
    <font>
      <color rgb="FF000000"/>
      <sz val="10"/>
      <name val="Arial"/>
    </font>
    <font>
      <color theme="1"/>
      <scheme val="minor"/>
      <sz val="7"/>
      <name val="Arial"/>
    </font>
    <font>
      <color theme="1"/>
      <scheme val="minor"/>
      <name val="Arial"/>
    </font>
    <font>
      <color theme="1"/>
      <name val="Arial"/>
    </font>
    <font>
      <color rgb="FF000000"/>
      <name val="Arial"/>
    </font>
    <font>
      <i/>
      <color theme="1"/>
      <scheme val="minor"/>
      <name val="Arial"/>
    </font>
    <font>
      <b/>
      <color theme="1"/>
      <scheme val="minor"/>
      <name val="Arial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readingOrder="1"/>
    </xf>
    <xf numFmtId="0" fontId="1" fillId="2" borderId="2" xfId="0" applyFont="1" applyFill="1" applyBorder="1" applyAlignment="1">
      <alignment horizontal="center" readingOrder="1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 wrapText="1" readingOrder="1"/>
    </xf>
    <xf numFmtId="0" fontId="1" fillId="0" borderId="0" xfId="0" applyFont="1"/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horizontal="center" readingOrder="1"/>
    </xf>
    <xf numFmtId="0" fontId="1" fillId="2" borderId="1" xfId="0" applyFont="1" applyFill="1" applyBorder="1" applyAlignment="1">
      <alignment readingOrder="1"/>
    </xf>
    <xf numFmtId="0" fontId="1" fillId="0" borderId="1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7" xfId="0" applyFont="1" applyBorder="1" applyAlignment="1">
      <alignment horizontal="center" readingOrder="1"/>
    </xf>
    <xf numFmtId="0" fontId="1" fillId="3" borderId="7" xfId="0" applyFont="1" applyFill="1" applyBorder="1" applyAlignment="1">
      <alignment horizontal="center" readingOrder="1"/>
    </xf>
    <xf numFmtId="0" fontId="1" fillId="4" borderId="7" xfId="0" applyFont="1" applyFill="1" applyBorder="1" applyAlignment="1">
      <alignment readingOrder="1"/>
    </xf>
    <xf numFmtId="0" fontId="1" fillId="4" borderId="7" xfId="0" applyFont="1" applyFill="1" applyBorder="1" applyAlignment="1">
      <alignment horizontal="center" readingOrder="1"/>
    </xf>
    <xf numFmtId="0" fontId="1" fillId="0" borderId="0" xfId="0" applyFont="1" applyAlignment="1">
      <alignment readingOrder="1"/>
    </xf>
    <xf numFmtId="0" fontId="1" fillId="0" borderId="7" xfId="0" applyFont="1" applyBorder="1"/>
    <xf numFmtId="0" fontId="1" fillId="4" borderId="7" xfId="0" applyFont="1" applyFill="1" applyBorder="1"/>
    <xf numFmtId="0" fontId="1" fillId="5" borderId="7" xfId="0" applyFont="1" applyFill="1" applyBorder="1" applyAlignment="1">
      <alignment readingOrder="1"/>
    </xf>
    <xf numFmtId="0" fontId="1" fillId="0" borderId="1" xfId="0" applyFont="1" applyBorder="1"/>
    <xf numFmtId="0" fontId="3" fillId="6" borderId="7" xfId="0" applyFont="1" applyFill="1" applyBorder="1" applyAlignment="1">
      <alignment horizontal="right" vertical="bottom" readingOrder="1"/>
    </xf>
    <xf numFmtId="0" fontId="3" fillId="6" borderId="4" xfId="0" applyFont="1" applyFill="1" applyBorder="1" applyAlignment="1">
      <alignment horizontal="right" vertical="bottom" readingOrder="1"/>
    </xf>
    <xf numFmtId="0" fontId="3" fillId="0" borderId="6" xfId="0" applyFont="1" applyBorder="1" applyAlignment="1">
      <alignment horizontal="right" vertical="bottom" readingOrder="1"/>
    </xf>
    <xf numFmtId="0" fontId="3" fillId="0" borderId="8" xfId="0" applyFont="1" applyBorder="1" applyAlignment="1">
      <alignment horizontal="right" vertical="bottom" readingOrder="1"/>
    </xf>
    <xf numFmtId="0" fontId="1" fillId="2" borderId="0" xfId="0" applyFont="1" applyFill="1"/>
    <xf numFmtId="0" fontId="4" fillId="2" borderId="1" xfId="0" applyFont="1" applyFill="1" applyBorder="1" applyAlignment="1">
      <alignment horizontal="center" readingOrder="1"/>
    </xf>
    <xf numFmtId="0" fontId="5" fillId="2" borderId="1" xfId="0" applyFont="1" applyFill="1" applyBorder="1" applyAlignment="1">
      <alignment horizontal="center" readingOrder="1"/>
    </xf>
    <xf numFmtId="0" fontId="5" fillId="2" borderId="2" xfId="0" applyFont="1" applyFill="1" applyBorder="1" applyAlignment="1">
      <alignment horizontal="center" readingOrder="1"/>
    </xf>
    <xf numFmtId="0" fontId="5" fillId="2" borderId="1" xfId="0" applyFont="1" applyFill="1" applyBorder="1" applyAlignment="1">
      <alignment horizontal="center" wrapText="1" readingOrder="1"/>
    </xf>
    <xf numFmtId="0" fontId="5" fillId="2" borderId="7" xfId="0" applyFont="1" applyFill="1" applyBorder="1" applyAlignment="1">
      <alignment horizontal="center" readingOrder="1"/>
    </xf>
    <xf numFmtId="0" fontId="5" fillId="2" borderId="1" xfId="0" applyFont="1" applyFill="1" applyBorder="1" applyAlignment="1">
      <alignment readingOrder="1"/>
    </xf>
    <xf numFmtId="0" fontId="5" fillId="0" borderId="1" xfId="0" applyFont="1" applyBorder="1" applyAlignment="1">
      <alignment readingOrder="1"/>
    </xf>
    <xf numFmtId="0" fontId="5" fillId="0" borderId="7" xfId="0" applyFont="1" applyBorder="1" applyAlignment="1">
      <alignment readingOrder="1"/>
    </xf>
    <xf numFmtId="0" fontId="5" fillId="0" borderId="7" xfId="0" applyFont="1" applyBorder="1" applyAlignment="1">
      <alignment horizontal="center" readingOrder="1"/>
    </xf>
    <xf numFmtId="0" fontId="5" fillId="3" borderId="7" xfId="0" applyFont="1" applyFill="1" applyBorder="1" applyAlignment="1">
      <alignment readingOrder="1"/>
    </xf>
    <xf numFmtId="0" fontId="5" fillId="0" borderId="0" xfId="0" applyFont="1"/>
    <xf numFmtId="0" fontId="5" fillId="0" borderId="0" xfId="0" applyFont="1" applyAlignment="1">
      <alignment readingOrder="1"/>
    </xf>
    <xf numFmtId="0" fontId="5" fillId="5" borderId="7" xfId="0" applyFont="1" applyFill="1" applyBorder="1" applyAlignment="1">
      <alignment readingOrder="1"/>
    </xf>
    <xf numFmtId="0" fontId="5" fillId="0" borderId="1" xfId="0" applyFont="1" applyBorder="1"/>
    <xf numFmtId="0" fontId="6" fillId="0" borderId="7" xfId="0" applyFont="1" applyBorder="1" applyAlignment="1">
      <alignment horizontal="right" vertical="bottom"/>
    </xf>
    <xf numFmtId="0" fontId="6" fillId="0" borderId="4" xfId="0" applyFont="1" applyBorder="1" applyAlignment="1">
      <alignment horizontal="right" vertical="bottom"/>
    </xf>
    <xf numFmtId="0" fontId="7" fillId="0" borderId="7" xfId="0" applyFont="1" applyBorder="1" applyAlignment="1">
      <alignment horizontal="right" vertical="bottom" readingOrder="1"/>
    </xf>
    <xf numFmtId="0" fontId="7" fillId="0" borderId="4" xfId="0" applyFont="1" applyBorder="1" applyAlignment="1">
      <alignment horizontal="right" vertical="bottom" readingOrder="1"/>
    </xf>
    <xf numFmtId="0" fontId="7" fillId="0" borderId="6" xfId="0" applyFont="1" applyBorder="1" applyAlignment="1">
      <alignment horizontal="right" vertical="bottom" readingOrder="1"/>
    </xf>
    <xf numFmtId="0" fontId="7" fillId="0" borderId="8" xfId="0" applyFont="1" applyBorder="1" applyAlignment="1">
      <alignment horizontal="right" vertical="bottom" readingOrder="1"/>
    </xf>
    <xf numFmtId="0" fontId="5" fillId="2" borderId="0" xfId="0" applyFont="1" applyFill="1"/>
    <xf numFmtId="0" fontId="8" fillId="2" borderId="1" xfId="0" applyFont="1" applyFill="1" applyBorder="1" applyAlignment="1">
      <alignment horizontal="center" wrapText="1" readingOrder="1"/>
    </xf>
    <xf numFmtId="0" fontId="5" fillId="6" borderId="1" xfId="0" applyFont="1" applyFill="1" applyBorder="1" applyAlignment="1">
      <alignment horizontal="right" readingOrder="1"/>
    </xf>
    <xf numFmtId="0" fontId="5" fillId="6" borderId="7" xfId="0" applyFont="1" applyFill="1" applyBorder="1" applyAlignment="1">
      <alignment readingOrder="1"/>
    </xf>
    <xf numFmtId="0" fontId="5" fillId="6" borderId="7" xfId="0" applyFont="1" applyFill="1" applyBorder="1" applyAlignment="1">
      <alignment horizontal="center" readingOrder="1"/>
    </xf>
    <xf numFmtId="0" fontId="5" fillId="6" borderId="0" xfId="0" applyFont="1" applyFill="1"/>
    <xf numFmtId="0" fontId="5" fillId="0" borderId="1" xfId="0" applyFont="1" applyBorder="1" applyAlignment="1">
      <alignment horizontal="right" readingOrder="1"/>
    </xf>
    <xf numFmtId="0" fontId="5" fillId="0" borderId="7" xfId="0" applyFont="1" applyBorder="1" applyAlignment="1">
      <alignment horizontal="right" readingOrder="1"/>
    </xf>
    <xf numFmtId="0" fontId="9" fillId="0" borderId="1" xfId="0" applyFont="1" applyBorder="1" applyAlignment="1">
      <alignment horizontal="center" readingOrder="1"/>
    </xf>
    <xf numFmtId="0" fontId="9" fillId="0" borderId="2" xfId="0" applyFont="1" applyBorder="1" applyAlignment="1">
      <alignment horizontal="center" readingOrder="1"/>
    </xf>
    <xf numFmtId="0" fontId="9" fillId="0" borderId="1" xfId="0" applyFont="1" applyBorder="1" applyAlignment="1">
      <alignment horizontal="center" wrapText="1" readingOrder="1"/>
    </xf>
    <xf numFmtId="0" fontId="9" fillId="0" borderId="7" xfId="0" applyFont="1" applyBorder="1" applyAlignment="1">
      <alignment horizontal="center" readingOrder="1"/>
    </xf>
    <xf numFmtId="0" fontId="5" fillId="0" borderId="1" xfId="0" applyFont="1" applyBorder="1" applyAlignment="1">
      <alignment horizontal="center" readingOrder="1"/>
    </xf>
    <xf numFmtId="0" fontId="7" fillId="6" borderId="7" xfId="0" applyFont="1" applyFill="1" applyBorder="1" applyAlignment="1">
      <alignment horizontal="right" vertical="bottom" readingOrder="1"/>
    </xf>
    <xf numFmtId="0" fontId="7" fillId="6" borderId="4" xfId="0" applyFont="1" applyFill="1" applyBorder="1" applyAlignment="1">
      <alignment horizontal="right" vertical="bottom" readingOrder="1"/>
    </xf>
    <xf numFmtId="0" fontId="9" fillId="0" borderId="1" xfId="0" applyFont="1" applyBorder="1" applyAlignment="1">
      <alignment readingOrder="1"/>
    </xf>
    <xf numFmtId="0" fontId="9" fillId="0" borderId="1" xfId="0" applyFont="1" applyBorder="1"/>
    <xf numFmtId="0" fontId="9" fillId="0" borderId="7" xfId="0" applyFont="1" applyBorder="1"/>
    <xf numFmtId="0" fontId="5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workbookViewId="0" zoomScale="100" zoomScaleNormal="100"/>
  </sheetViews>
  <sheetFormatPr defaultRowHeight="15.75" outlineLevelRow="0" outlineLevelCol="1" x14ac:dyDescent="0" defaultColWidth="12.63" customHeight="1"/>
  <cols>
    <col min="1" max="1" width="25.13" customWidth="1"/>
    <col min="3" max="3" width="14.63" customWidth="1"/>
    <col min="4" max="4" width="14.13" customWidth="1"/>
    <col min="5" max="5" width="16" customWidth="1"/>
    <col min="15" max="22" width="12.63" outlineLevel="1" collapsed="1" customWidth="1"/>
  </cols>
  <sheetData>
    <row r="1" ht="25.5" customHeight="1" spans="1:27" x14ac:dyDescent="0.25">
      <c r="A1" s="1" t="s">
        <v>0</v>
      </c>
      <c r="B1" s="1" t="s">
        <v>1</v>
      </c>
      <c r="C1" s="2" t="s">
        <v>2</v>
      </c>
      <c r="D1" s="3"/>
      <c r="E1" s="4"/>
      <c r="F1" s="5" t="s">
        <v>3</v>
      </c>
      <c r="G1" s="2" t="s">
        <v>4</v>
      </c>
      <c r="H1" s="3"/>
      <c r="I1" s="3"/>
      <c r="J1" s="3"/>
      <c r="K1" s="3"/>
      <c r="L1" s="3"/>
      <c r="M1" s="3"/>
      <c r="N1" s="4"/>
      <c r="O1" s="2" t="s">
        <v>5</v>
      </c>
      <c r="P1" s="3"/>
      <c r="Q1" s="3"/>
      <c r="R1" s="3"/>
      <c r="S1" s="3"/>
      <c r="T1" s="3"/>
      <c r="U1" s="3"/>
      <c r="V1" s="4"/>
      <c r="W1" s="6"/>
      <c r="X1" s="6"/>
      <c r="Y1" s="6"/>
      <c r="Z1" s="6"/>
      <c r="AA1" s="6"/>
    </row>
    <row r="2" ht="27" customHeight="1" spans="1:27" x14ac:dyDescent="0.25">
      <c r="A2" s="7"/>
      <c r="B2" s="7"/>
      <c r="C2" s="5" t="s">
        <v>6</v>
      </c>
      <c r="D2" s="2" t="s">
        <v>7</v>
      </c>
      <c r="E2" s="4"/>
      <c r="F2" s="7"/>
      <c r="G2" s="2" t="s">
        <v>8</v>
      </c>
      <c r="H2" s="4"/>
      <c r="I2" s="2" t="s">
        <v>9</v>
      </c>
      <c r="J2" s="4"/>
      <c r="K2" s="2" t="s">
        <v>10</v>
      </c>
      <c r="L2" s="4"/>
      <c r="M2" s="2" t="s">
        <v>11</v>
      </c>
      <c r="N2" s="4"/>
      <c r="O2" s="2" t="s">
        <v>8</v>
      </c>
      <c r="P2" s="4"/>
      <c r="Q2" s="2" t="s">
        <v>9</v>
      </c>
      <c r="R2" s="4"/>
      <c r="S2" s="2" t="s">
        <v>10</v>
      </c>
      <c r="T2" s="4"/>
      <c r="U2" s="2" t="s">
        <v>11</v>
      </c>
      <c r="V2" s="4"/>
      <c r="W2" s="6"/>
      <c r="X2" s="6"/>
      <c r="Y2" s="6"/>
      <c r="Z2" s="6"/>
      <c r="AA2" s="6"/>
    </row>
    <row r="3" spans="1:27" x14ac:dyDescent="0.25">
      <c r="A3" s="8"/>
      <c r="B3" s="8"/>
      <c r="C3" s="8"/>
      <c r="D3" s="9" t="s">
        <v>12</v>
      </c>
      <c r="E3" s="9" t="s">
        <v>13</v>
      </c>
      <c r="F3" s="8"/>
      <c r="G3" s="9" t="s">
        <v>12</v>
      </c>
      <c r="H3" s="9" t="s">
        <v>13</v>
      </c>
      <c r="I3" s="9" t="s">
        <v>12</v>
      </c>
      <c r="J3" s="9" t="s">
        <v>13</v>
      </c>
      <c r="K3" s="9" t="s">
        <v>12</v>
      </c>
      <c r="L3" s="9" t="s">
        <v>13</v>
      </c>
      <c r="M3" s="9" t="s">
        <v>12</v>
      </c>
      <c r="N3" s="9" t="s">
        <v>13</v>
      </c>
      <c r="O3" s="9" t="s">
        <v>12</v>
      </c>
      <c r="P3" s="9" t="s">
        <v>13</v>
      </c>
      <c r="Q3" s="9" t="s">
        <v>12</v>
      </c>
      <c r="R3" s="9" t="s">
        <v>13</v>
      </c>
      <c r="S3" s="9" t="s">
        <v>12</v>
      </c>
      <c r="T3" s="9" t="s">
        <v>13</v>
      </c>
      <c r="U3" s="9" t="s">
        <v>12</v>
      </c>
      <c r="V3" s="9" t="s">
        <v>13</v>
      </c>
      <c r="W3" s="6"/>
      <c r="X3" s="6"/>
      <c r="Y3" s="6"/>
      <c r="Z3" s="6"/>
      <c r="AA3" s="6"/>
    </row>
    <row r="4" spans="1:27" x14ac:dyDescent="0.25">
      <c r="A4" s="10" t="s">
        <v>14</v>
      </c>
      <c r="B4" s="11">
        <v>209</v>
      </c>
      <c r="C4" s="11">
        <v>62</v>
      </c>
      <c r="D4" s="12">
        <v>33</v>
      </c>
      <c r="E4" s="12">
        <v>20</v>
      </c>
      <c r="F4" s="13" t="s">
        <v>15</v>
      </c>
      <c r="G4" s="12">
        <v>0</v>
      </c>
      <c r="H4" s="12">
        <v>0</v>
      </c>
      <c r="I4" s="12">
        <v>0</v>
      </c>
      <c r="J4" s="12">
        <v>0</v>
      </c>
      <c r="K4" s="12">
        <v>31</v>
      </c>
      <c r="L4" s="12">
        <v>20</v>
      </c>
      <c r="M4" s="12">
        <v>2</v>
      </c>
      <c r="N4" s="12">
        <v>0</v>
      </c>
      <c r="O4" s="12">
        <v>18</v>
      </c>
      <c r="P4" s="12">
        <v>10</v>
      </c>
      <c r="Q4" s="12">
        <v>10</v>
      </c>
      <c r="R4" s="12">
        <v>4</v>
      </c>
      <c r="S4" s="12">
        <v>5</v>
      </c>
      <c r="T4" s="12">
        <v>6</v>
      </c>
      <c r="U4" s="12">
        <v>0</v>
      </c>
      <c r="V4" s="12">
        <v>0</v>
      </c>
      <c r="W4" s="6">
        <f t="shared" ref="W4:X4" si="0">G4+I4+K4+M4</f>
        <v>33</v>
      </c>
      <c r="X4" s="6">
        <f t="shared" si="0"/>
        <v>20</v>
      </c>
      <c r="Y4" s="6">
        <f t="shared" ref="Y4:Y26" si="1">W4+X4</f>
        <v>53</v>
      </c>
      <c r="Z4" s="14">
        <f t="shared" ref="Z4:Z37" si="2">W4+X4</f>
        <v>53</v>
      </c>
      <c r="AA4" s="6"/>
    </row>
    <row r="5" spans="1:27" x14ac:dyDescent="0.25">
      <c r="A5" s="8"/>
      <c r="B5" s="8"/>
      <c r="C5" s="8"/>
      <c r="D5" s="12">
        <v>53</v>
      </c>
      <c r="E5" s="12">
        <v>41</v>
      </c>
      <c r="F5" s="13" t="s">
        <v>16</v>
      </c>
      <c r="G5" s="15">
        <v>19</v>
      </c>
      <c r="H5" s="15">
        <v>15</v>
      </c>
      <c r="I5" s="15">
        <v>34</v>
      </c>
      <c r="J5" s="15">
        <v>26</v>
      </c>
      <c r="K5" s="15">
        <v>0</v>
      </c>
      <c r="L5" s="15">
        <v>0</v>
      </c>
      <c r="M5" s="15">
        <v>0</v>
      </c>
      <c r="N5" s="15">
        <v>0</v>
      </c>
      <c r="O5" s="15">
        <v>41</v>
      </c>
      <c r="P5" s="15">
        <v>85</v>
      </c>
      <c r="Q5" s="15">
        <v>12</v>
      </c>
      <c r="R5" s="15">
        <v>9</v>
      </c>
      <c r="S5" s="15">
        <v>0</v>
      </c>
      <c r="T5" s="15">
        <v>0</v>
      </c>
      <c r="U5" s="15">
        <v>0</v>
      </c>
      <c r="V5" s="15">
        <v>0</v>
      </c>
      <c r="W5" s="6">
        <f t="shared" ref="W5:X5" si="3">G5+I5+K5+M5</f>
        <v>53</v>
      </c>
      <c r="X5" s="6">
        <f t="shared" si="3"/>
        <v>41</v>
      </c>
      <c r="Y5" s="6">
        <f t="shared" si="1"/>
        <v>94</v>
      </c>
      <c r="Z5" s="16">
        <f t="shared" si="2"/>
        <v>94</v>
      </c>
      <c r="AA5" s="6"/>
    </row>
    <row r="6" spans="1:27" x14ac:dyDescent="0.25">
      <c r="A6" s="10" t="s">
        <v>17</v>
      </c>
      <c r="B6" s="11">
        <v>42</v>
      </c>
      <c r="C6" s="11">
        <v>2</v>
      </c>
      <c r="D6" s="12">
        <v>6</v>
      </c>
      <c r="E6" s="12">
        <v>8</v>
      </c>
      <c r="F6" s="13" t="s">
        <v>18</v>
      </c>
      <c r="G6" s="12">
        <v>1</v>
      </c>
      <c r="H6" s="12">
        <v>1</v>
      </c>
      <c r="I6" s="12">
        <v>1</v>
      </c>
      <c r="J6" s="12">
        <v>4</v>
      </c>
      <c r="K6" s="12">
        <v>2</v>
      </c>
      <c r="L6" s="12">
        <v>3</v>
      </c>
      <c r="M6" s="12">
        <v>2</v>
      </c>
      <c r="N6" s="12">
        <v>0</v>
      </c>
      <c r="O6" s="12">
        <v>5</v>
      </c>
      <c r="P6" s="12">
        <v>3</v>
      </c>
      <c r="Q6" s="12">
        <v>3</v>
      </c>
      <c r="R6" s="12">
        <v>6</v>
      </c>
      <c r="S6" s="12">
        <v>4</v>
      </c>
      <c r="T6" s="12">
        <v>1</v>
      </c>
      <c r="U6" s="12">
        <v>0</v>
      </c>
      <c r="V6" s="12">
        <v>0</v>
      </c>
      <c r="W6" s="6">
        <f t="shared" ref="W6:X6" si="4">G6+I6+K6+M6</f>
        <v>6</v>
      </c>
      <c r="X6" s="6">
        <f t="shared" si="4"/>
        <v>8</v>
      </c>
      <c r="Y6" s="6">
        <f t="shared" si="1"/>
        <v>14</v>
      </c>
      <c r="Z6" s="14">
        <f t="shared" si="2"/>
        <v>14</v>
      </c>
      <c r="AA6" s="6"/>
    </row>
    <row r="7" spans="1:27" x14ac:dyDescent="0.25">
      <c r="A7" s="8"/>
      <c r="B7" s="8"/>
      <c r="C7" s="8"/>
      <c r="D7" s="17">
        <v>15</v>
      </c>
      <c r="E7" s="12">
        <v>11</v>
      </c>
      <c r="F7" s="13" t="s">
        <v>19</v>
      </c>
      <c r="G7" s="15">
        <v>4</v>
      </c>
      <c r="H7" s="15">
        <v>2</v>
      </c>
      <c r="I7" s="15">
        <v>5</v>
      </c>
      <c r="J7" s="15">
        <v>5</v>
      </c>
      <c r="K7" s="15">
        <v>6</v>
      </c>
      <c r="L7" s="15">
        <v>4</v>
      </c>
      <c r="M7" s="15">
        <v>0</v>
      </c>
      <c r="N7" s="15">
        <v>0</v>
      </c>
      <c r="O7" s="15">
        <v>4</v>
      </c>
      <c r="P7" s="15">
        <v>3</v>
      </c>
      <c r="Q7" s="15">
        <v>5</v>
      </c>
      <c r="R7" s="15">
        <v>5</v>
      </c>
      <c r="S7" s="15">
        <v>2</v>
      </c>
      <c r="T7" s="15">
        <v>1</v>
      </c>
      <c r="U7" s="15">
        <v>0</v>
      </c>
      <c r="V7" s="15">
        <v>0</v>
      </c>
      <c r="W7" s="6">
        <f t="shared" ref="W7:X7" si="5">G7+I7+K7+M7</f>
        <v>15</v>
      </c>
      <c r="X7" s="6">
        <f t="shared" si="5"/>
        <v>11</v>
      </c>
      <c r="Y7" s="6">
        <f t="shared" si="1"/>
        <v>26</v>
      </c>
      <c r="Z7" s="16">
        <f t="shared" si="2"/>
        <v>26</v>
      </c>
      <c r="AA7" s="6"/>
    </row>
    <row r="8" spans="1:27" x14ac:dyDescent="0.25">
      <c r="A8" s="10" t="s">
        <v>20</v>
      </c>
      <c r="B8" s="11">
        <v>58</v>
      </c>
      <c r="C8" s="11">
        <v>6</v>
      </c>
      <c r="D8" s="12">
        <v>15</v>
      </c>
      <c r="E8" s="12">
        <v>10</v>
      </c>
      <c r="F8" s="13" t="s">
        <v>21</v>
      </c>
      <c r="G8" s="12">
        <v>0</v>
      </c>
      <c r="H8" s="12">
        <v>1</v>
      </c>
      <c r="I8" s="12">
        <v>2</v>
      </c>
      <c r="J8" s="12">
        <v>3</v>
      </c>
      <c r="K8" s="12">
        <v>13</v>
      </c>
      <c r="L8" s="12">
        <v>6</v>
      </c>
      <c r="M8" s="12">
        <v>0</v>
      </c>
      <c r="N8" s="12">
        <v>0</v>
      </c>
      <c r="O8" s="12">
        <v>1</v>
      </c>
      <c r="P8" s="12">
        <v>3</v>
      </c>
      <c r="Q8" s="12">
        <v>8</v>
      </c>
      <c r="R8" s="12">
        <v>5</v>
      </c>
      <c r="S8" s="12">
        <v>6</v>
      </c>
      <c r="T8" s="12">
        <v>3</v>
      </c>
      <c r="U8" s="12">
        <v>0</v>
      </c>
      <c r="V8" s="12">
        <v>0</v>
      </c>
      <c r="W8" s="6">
        <f t="shared" ref="W8:X8" si="6">G8+I8+K8+M8</f>
        <v>15</v>
      </c>
      <c r="X8" s="6">
        <f t="shared" si="6"/>
        <v>10</v>
      </c>
      <c r="Y8" s="6">
        <f t="shared" si="1"/>
        <v>25</v>
      </c>
      <c r="Z8" s="14">
        <f t="shared" si="2"/>
        <v>25</v>
      </c>
      <c r="AA8" s="6"/>
    </row>
    <row r="9" spans="1:27" x14ac:dyDescent="0.25">
      <c r="A9" s="8"/>
      <c r="B9" s="8"/>
      <c r="C9" s="8"/>
      <c r="D9" s="12">
        <v>9</v>
      </c>
      <c r="E9" s="12">
        <v>18</v>
      </c>
      <c r="F9" s="13" t="s">
        <v>22</v>
      </c>
      <c r="G9" s="15">
        <v>0</v>
      </c>
      <c r="H9" s="15">
        <v>2</v>
      </c>
      <c r="I9" s="15">
        <v>8</v>
      </c>
      <c r="J9" s="15">
        <v>13</v>
      </c>
      <c r="K9" s="15">
        <v>1</v>
      </c>
      <c r="L9" s="15">
        <v>3</v>
      </c>
      <c r="M9" s="15">
        <v>0</v>
      </c>
      <c r="N9" s="15">
        <v>0</v>
      </c>
      <c r="O9" s="15">
        <v>8</v>
      </c>
      <c r="P9" s="15">
        <v>7</v>
      </c>
      <c r="Q9" s="15">
        <v>0</v>
      </c>
      <c r="R9" s="15">
        <v>8</v>
      </c>
      <c r="S9" s="15">
        <v>1</v>
      </c>
      <c r="T9" s="15">
        <v>3</v>
      </c>
      <c r="U9" s="15">
        <v>0</v>
      </c>
      <c r="V9" s="15">
        <v>0</v>
      </c>
      <c r="W9" s="6">
        <f t="shared" ref="W9:X9" si="7">G9+I9+K9+M9</f>
        <v>9</v>
      </c>
      <c r="X9" s="6">
        <f t="shared" si="7"/>
        <v>18</v>
      </c>
      <c r="Y9" s="6">
        <f t="shared" si="1"/>
        <v>27</v>
      </c>
      <c r="Z9" s="16">
        <f t="shared" si="2"/>
        <v>27</v>
      </c>
      <c r="AA9" s="6"/>
    </row>
    <row r="10" spans="1:27" x14ac:dyDescent="0.25">
      <c r="A10" s="10" t="s">
        <v>23</v>
      </c>
      <c r="B10" s="11">
        <v>42</v>
      </c>
      <c r="C10" s="11">
        <v>7</v>
      </c>
      <c r="D10" s="12">
        <v>14</v>
      </c>
      <c r="E10" s="12">
        <v>2</v>
      </c>
      <c r="F10" s="13" t="s">
        <v>24</v>
      </c>
      <c r="G10" s="12">
        <v>0</v>
      </c>
      <c r="H10" s="12">
        <v>0</v>
      </c>
      <c r="I10" s="12">
        <v>0</v>
      </c>
      <c r="J10" s="12">
        <v>0</v>
      </c>
      <c r="K10" s="12">
        <v>14</v>
      </c>
      <c r="L10" s="12">
        <v>2</v>
      </c>
      <c r="M10" s="12">
        <v>0</v>
      </c>
      <c r="N10" s="12">
        <v>0</v>
      </c>
      <c r="O10" s="12">
        <v>2</v>
      </c>
      <c r="P10" s="12">
        <v>0</v>
      </c>
      <c r="Q10" s="12">
        <v>12</v>
      </c>
      <c r="R10" s="12">
        <v>2</v>
      </c>
      <c r="S10" s="12">
        <v>0</v>
      </c>
      <c r="T10" s="12">
        <v>0</v>
      </c>
      <c r="U10" s="12">
        <v>0</v>
      </c>
      <c r="V10" s="12">
        <v>0</v>
      </c>
      <c r="W10" s="6">
        <f t="shared" ref="W10:X10" si="8">G10+I10+K10+M10</f>
        <v>14</v>
      </c>
      <c r="X10" s="6">
        <f t="shared" si="8"/>
        <v>2</v>
      </c>
      <c r="Y10" s="6">
        <f t="shared" si="1"/>
        <v>16</v>
      </c>
      <c r="Z10" s="14">
        <f t="shared" si="2"/>
        <v>16</v>
      </c>
      <c r="AA10" s="6"/>
    </row>
    <row r="11" spans="1:27" x14ac:dyDescent="0.25">
      <c r="A11" s="8"/>
      <c r="B11" s="8"/>
      <c r="C11" s="8"/>
      <c r="D11" s="12">
        <v>7</v>
      </c>
      <c r="E11" s="12">
        <v>12</v>
      </c>
      <c r="F11" s="13" t="s">
        <v>25</v>
      </c>
      <c r="G11" s="15">
        <v>0</v>
      </c>
      <c r="H11" s="15">
        <v>0</v>
      </c>
      <c r="I11" s="15">
        <v>2</v>
      </c>
      <c r="J11" s="15">
        <v>3</v>
      </c>
      <c r="K11" s="15">
        <v>5</v>
      </c>
      <c r="L11" s="15">
        <v>9</v>
      </c>
      <c r="M11" s="15">
        <v>0</v>
      </c>
      <c r="N11" s="15">
        <v>0</v>
      </c>
      <c r="O11" s="15">
        <v>1</v>
      </c>
      <c r="P11" s="15">
        <v>1</v>
      </c>
      <c r="Q11" s="15">
        <v>4</v>
      </c>
      <c r="R11" s="15">
        <v>7</v>
      </c>
      <c r="S11" s="15">
        <v>2</v>
      </c>
      <c r="T11" s="15">
        <v>4</v>
      </c>
      <c r="U11" s="15">
        <v>0</v>
      </c>
      <c r="V11" s="15">
        <v>0</v>
      </c>
      <c r="W11" s="6">
        <f t="shared" ref="W11:X11" si="9">G11+I11+K11+M11</f>
        <v>7</v>
      </c>
      <c r="X11" s="6">
        <f t="shared" si="9"/>
        <v>12</v>
      </c>
      <c r="Y11" s="6">
        <f t="shared" si="1"/>
        <v>19</v>
      </c>
      <c r="Z11" s="16">
        <f t="shared" si="2"/>
        <v>19</v>
      </c>
      <c r="AA11" s="6"/>
    </row>
    <row r="12" spans="1:27" x14ac:dyDescent="0.25">
      <c r="A12" s="10" t="s">
        <v>26</v>
      </c>
      <c r="B12" s="11">
        <v>25</v>
      </c>
      <c r="C12" s="11">
        <v>4</v>
      </c>
      <c r="D12" s="12">
        <v>8</v>
      </c>
      <c r="E12" s="12">
        <v>3</v>
      </c>
      <c r="F12" s="13" t="s">
        <v>27</v>
      </c>
      <c r="G12" s="12">
        <v>1</v>
      </c>
      <c r="H12" s="12">
        <v>1</v>
      </c>
      <c r="I12" s="12">
        <v>2</v>
      </c>
      <c r="J12" s="12">
        <v>1</v>
      </c>
      <c r="K12" s="12">
        <v>5</v>
      </c>
      <c r="L12" s="12">
        <v>1</v>
      </c>
      <c r="M12" s="12">
        <v>0</v>
      </c>
      <c r="N12" s="12">
        <v>0</v>
      </c>
      <c r="O12" s="12">
        <v>2</v>
      </c>
      <c r="P12" s="12">
        <v>0</v>
      </c>
      <c r="Q12" s="12">
        <v>2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7">
        <v>4</v>
      </c>
      <c r="X12" s="17">
        <v>1</v>
      </c>
      <c r="Y12" s="6">
        <f t="shared" si="1"/>
        <v>5</v>
      </c>
      <c r="Z12" s="14">
        <f t="shared" si="2"/>
        <v>5</v>
      </c>
      <c r="AA12" s="6"/>
    </row>
    <row r="13" spans="1:27" x14ac:dyDescent="0.25">
      <c r="A13" s="8"/>
      <c r="B13" s="8"/>
      <c r="C13" s="8"/>
      <c r="D13" s="12">
        <v>2</v>
      </c>
      <c r="E13" s="12">
        <v>8</v>
      </c>
      <c r="F13" s="13" t="s">
        <v>28</v>
      </c>
      <c r="G13" s="15">
        <v>0</v>
      </c>
      <c r="H13" s="15">
        <v>1</v>
      </c>
      <c r="I13" s="15">
        <v>1</v>
      </c>
      <c r="J13" s="15">
        <v>2</v>
      </c>
      <c r="K13" s="15">
        <v>1</v>
      </c>
      <c r="L13" s="15">
        <v>5</v>
      </c>
      <c r="M13" s="15">
        <v>0</v>
      </c>
      <c r="N13" s="15">
        <v>0</v>
      </c>
      <c r="O13" s="15">
        <v>4</v>
      </c>
      <c r="P13" s="15">
        <v>4</v>
      </c>
      <c r="Q13" s="15">
        <v>2</v>
      </c>
      <c r="R13" s="15">
        <v>2</v>
      </c>
      <c r="S13" s="15">
        <v>0</v>
      </c>
      <c r="T13" s="15">
        <v>3</v>
      </c>
      <c r="U13" s="15">
        <v>0</v>
      </c>
      <c r="V13" s="15">
        <v>0</v>
      </c>
      <c r="W13" s="17">
        <v>6</v>
      </c>
      <c r="X13" s="17">
        <v>9</v>
      </c>
      <c r="Y13" s="6">
        <f t="shared" si="1"/>
        <v>15</v>
      </c>
      <c r="Z13" s="16">
        <f t="shared" si="2"/>
        <v>15</v>
      </c>
      <c r="AA13" s="6"/>
    </row>
    <row r="14" spans="1:27" x14ac:dyDescent="0.25">
      <c r="A14" s="10" t="s">
        <v>29</v>
      </c>
      <c r="B14" s="11">
        <v>93</v>
      </c>
      <c r="C14" s="11">
        <v>20</v>
      </c>
      <c r="D14" s="12">
        <v>21</v>
      </c>
      <c r="E14" s="12">
        <v>15</v>
      </c>
      <c r="F14" s="13" t="s">
        <v>30</v>
      </c>
      <c r="G14" s="12">
        <v>2</v>
      </c>
      <c r="H14" s="12">
        <v>2</v>
      </c>
      <c r="I14" s="12">
        <v>5</v>
      </c>
      <c r="J14" s="12">
        <v>5</v>
      </c>
      <c r="K14" s="12">
        <v>10</v>
      </c>
      <c r="L14" s="12">
        <v>8</v>
      </c>
      <c r="M14" s="12">
        <v>4</v>
      </c>
      <c r="N14" s="12">
        <v>0</v>
      </c>
      <c r="O14" s="12">
        <v>14</v>
      </c>
      <c r="P14" s="12">
        <v>9</v>
      </c>
      <c r="Q14" s="12">
        <v>3</v>
      </c>
      <c r="R14" s="12">
        <v>4</v>
      </c>
      <c r="S14" s="12">
        <v>2</v>
      </c>
      <c r="T14" s="12">
        <v>2</v>
      </c>
      <c r="U14" s="12">
        <v>2</v>
      </c>
      <c r="V14" s="12">
        <v>0</v>
      </c>
      <c r="W14" s="6">
        <f t="shared" ref="W14:X14" si="10">G14+I14+K14+M14</f>
        <v>21</v>
      </c>
      <c r="X14" s="6">
        <f t="shared" si="10"/>
        <v>15</v>
      </c>
      <c r="Y14" s="6">
        <f t="shared" si="1"/>
        <v>36</v>
      </c>
      <c r="Z14" s="14">
        <f t="shared" si="2"/>
        <v>36</v>
      </c>
      <c r="AA14" s="6"/>
    </row>
    <row r="15" spans="1:27" x14ac:dyDescent="0.25">
      <c r="A15" s="8"/>
      <c r="B15" s="8"/>
      <c r="C15" s="8"/>
      <c r="D15" s="12">
        <v>17</v>
      </c>
      <c r="E15" s="12">
        <v>20</v>
      </c>
      <c r="F15" s="13" t="s">
        <v>31</v>
      </c>
      <c r="G15" s="15">
        <v>3</v>
      </c>
      <c r="H15" s="15">
        <v>3</v>
      </c>
      <c r="I15" s="15">
        <v>7</v>
      </c>
      <c r="J15" s="15">
        <v>9</v>
      </c>
      <c r="K15" s="15">
        <v>6</v>
      </c>
      <c r="L15" s="15">
        <v>8</v>
      </c>
      <c r="M15" s="15">
        <v>1</v>
      </c>
      <c r="N15" s="15">
        <v>0</v>
      </c>
      <c r="O15" s="15">
        <v>10</v>
      </c>
      <c r="P15" s="15">
        <v>12</v>
      </c>
      <c r="Q15" s="15">
        <v>4</v>
      </c>
      <c r="R15" s="15">
        <v>5</v>
      </c>
      <c r="S15" s="15">
        <v>3</v>
      </c>
      <c r="T15" s="15">
        <v>3</v>
      </c>
      <c r="U15" s="15">
        <v>0</v>
      </c>
      <c r="V15" s="15">
        <v>0</v>
      </c>
      <c r="W15" s="6">
        <f t="shared" ref="W15:X15" si="11">G15+I15+K15+M15</f>
        <v>17</v>
      </c>
      <c r="X15" s="6">
        <f t="shared" si="11"/>
        <v>20</v>
      </c>
      <c r="Y15" s="6">
        <f t="shared" si="1"/>
        <v>37</v>
      </c>
      <c r="Z15" s="16">
        <f t="shared" si="2"/>
        <v>37</v>
      </c>
      <c r="AA15" s="6"/>
    </row>
    <row r="16" spans="1:27" x14ac:dyDescent="0.25">
      <c r="A16" s="10" t="s">
        <v>32</v>
      </c>
      <c r="B16" s="11">
        <v>23</v>
      </c>
      <c r="C16" s="11">
        <v>4</v>
      </c>
      <c r="D16" s="12">
        <v>9</v>
      </c>
      <c r="E16" s="12">
        <v>4</v>
      </c>
      <c r="F16" s="13" t="s">
        <v>33</v>
      </c>
      <c r="G16" s="12">
        <v>0</v>
      </c>
      <c r="H16" s="12">
        <v>0</v>
      </c>
      <c r="I16" s="12">
        <v>3</v>
      </c>
      <c r="J16" s="12">
        <v>0</v>
      </c>
      <c r="K16" s="12">
        <v>6</v>
      </c>
      <c r="L16" s="12">
        <v>4</v>
      </c>
      <c r="M16" s="12">
        <v>0</v>
      </c>
      <c r="N16" s="12">
        <v>0</v>
      </c>
      <c r="O16" s="12">
        <v>2</v>
      </c>
      <c r="P16" s="12">
        <v>0</v>
      </c>
      <c r="Q16" s="12">
        <v>3</v>
      </c>
      <c r="R16" s="12">
        <v>2</v>
      </c>
      <c r="S16" s="12">
        <v>4</v>
      </c>
      <c r="T16" s="12">
        <v>2</v>
      </c>
      <c r="U16" s="12">
        <v>0</v>
      </c>
      <c r="V16" s="12">
        <v>0</v>
      </c>
      <c r="W16" s="6">
        <f t="shared" ref="W16:X16" si="12">G16+I16+K16+M16</f>
        <v>9</v>
      </c>
      <c r="X16" s="6">
        <f t="shared" si="12"/>
        <v>4</v>
      </c>
      <c r="Y16" s="6">
        <f t="shared" si="1"/>
        <v>13</v>
      </c>
      <c r="Z16" s="14">
        <f t="shared" si="2"/>
        <v>13</v>
      </c>
      <c r="AA16" s="6"/>
    </row>
    <row r="17" spans="1:27" x14ac:dyDescent="0.25">
      <c r="A17" s="8"/>
      <c r="B17" s="8"/>
      <c r="C17" s="8"/>
      <c r="D17" s="12">
        <v>1</v>
      </c>
      <c r="E17" s="12">
        <v>5</v>
      </c>
      <c r="F17" s="13" t="s">
        <v>34</v>
      </c>
      <c r="G17" s="15">
        <v>1</v>
      </c>
      <c r="H17" s="15">
        <v>0</v>
      </c>
      <c r="I17" s="15">
        <v>0</v>
      </c>
      <c r="J17" s="15">
        <v>2</v>
      </c>
      <c r="K17" s="15">
        <v>0</v>
      </c>
      <c r="L17" s="15">
        <v>3</v>
      </c>
      <c r="M17" s="15">
        <v>0</v>
      </c>
      <c r="N17" s="15">
        <v>0</v>
      </c>
      <c r="O17" s="15">
        <v>1</v>
      </c>
      <c r="P17" s="15">
        <v>1</v>
      </c>
      <c r="Q17" s="15">
        <v>0</v>
      </c>
      <c r="R17" s="15">
        <v>2</v>
      </c>
      <c r="S17" s="15">
        <v>0</v>
      </c>
      <c r="T17" s="15">
        <v>2</v>
      </c>
      <c r="U17" s="15">
        <v>0</v>
      </c>
      <c r="V17" s="15">
        <v>0</v>
      </c>
      <c r="W17" s="6">
        <f t="shared" ref="W17:X17" si="13">G17+I17+K17+M17</f>
        <v>1</v>
      </c>
      <c r="X17" s="6">
        <f t="shared" si="13"/>
        <v>5</v>
      </c>
      <c r="Y17" s="6">
        <f t="shared" si="1"/>
        <v>6</v>
      </c>
      <c r="Z17" s="16">
        <f t="shared" si="2"/>
        <v>6</v>
      </c>
      <c r="AA17" s="6"/>
    </row>
    <row r="18" spans="1:27" x14ac:dyDescent="0.25">
      <c r="A18" s="10" t="s">
        <v>35</v>
      </c>
      <c r="B18" s="11">
        <v>31</v>
      </c>
      <c r="C18" s="11">
        <v>4</v>
      </c>
      <c r="D18" s="12">
        <v>4</v>
      </c>
      <c r="E18" s="12">
        <v>10</v>
      </c>
      <c r="F18" s="13" t="s">
        <v>36</v>
      </c>
      <c r="G18" s="12">
        <v>2</v>
      </c>
      <c r="H18" s="12">
        <v>2</v>
      </c>
      <c r="I18" s="12">
        <v>2</v>
      </c>
      <c r="J18" s="12">
        <v>5</v>
      </c>
      <c r="K18" s="12">
        <v>0</v>
      </c>
      <c r="L18" s="12">
        <v>3</v>
      </c>
      <c r="M18" s="12">
        <v>0</v>
      </c>
      <c r="N18" s="12">
        <v>0</v>
      </c>
      <c r="O18" s="12">
        <v>2</v>
      </c>
      <c r="P18" s="12">
        <v>3</v>
      </c>
      <c r="Q18" s="12">
        <v>2</v>
      </c>
      <c r="R18" s="12">
        <v>5</v>
      </c>
      <c r="S18" s="12">
        <v>0</v>
      </c>
      <c r="T18" s="12">
        <v>2</v>
      </c>
      <c r="U18" s="12">
        <v>0</v>
      </c>
      <c r="V18" s="12">
        <v>0</v>
      </c>
      <c r="W18" s="6">
        <f t="shared" ref="W18:X18" si="14">G18+I18+K18+M18</f>
        <v>4</v>
      </c>
      <c r="X18" s="6">
        <f t="shared" si="14"/>
        <v>10</v>
      </c>
      <c r="Y18" s="6">
        <f t="shared" si="1"/>
        <v>14</v>
      </c>
      <c r="Z18" s="14">
        <f t="shared" si="2"/>
        <v>14</v>
      </c>
      <c r="AA18" s="6"/>
    </row>
    <row r="19" spans="1:27" x14ac:dyDescent="0.25">
      <c r="A19" s="8"/>
      <c r="B19" s="8"/>
      <c r="C19" s="8"/>
      <c r="D19" s="12">
        <v>3</v>
      </c>
      <c r="E19" s="12">
        <v>10</v>
      </c>
      <c r="F19" s="13" t="s">
        <v>37</v>
      </c>
      <c r="G19" s="15">
        <v>0</v>
      </c>
      <c r="H19" s="15">
        <v>2</v>
      </c>
      <c r="I19" s="15">
        <v>2</v>
      </c>
      <c r="J19" s="15">
        <v>4</v>
      </c>
      <c r="K19" s="15">
        <v>1</v>
      </c>
      <c r="L19" s="15">
        <v>4</v>
      </c>
      <c r="M19" s="15">
        <v>0</v>
      </c>
      <c r="N19" s="15">
        <v>0</v>
      </c>
      <c r="O19" s="15">
        <v>1</v>
      </c>
      <c r="P19" s="15">
        <v>3</v>
      </c>
      <c r="Q19" s="15">
        <v>2</v>
      </c>
      <c r="R19" s="15">
        <v>5</v>
      </c>
      <c r="S19" s="15">
        <v>0</v>
      </c>
      <c r="T19" s="15">
        <v>2</v>
      </c>
      <c r="U19" s="15">
        <v>0</v>
      </c>
      <c r="V19" s="15">
        <v>0</v>
      </c>
      <c r="W19" s="6">
        <f t="shared" ref="W19:X19" si="15">G19+I19+K19+M19</f>
        <v>3</v>
      </c>
      <c r="X19" s="6">
        <f t="shared" si="15"/>
        <v>10</v>
      </c>
      <c r="Y19" s="6">
        <f t="shared" si="1"/>
        <v>13</v>
      </c>
      <c r="Z19" s="16">
        <f t="shared" si="2"/>
        <v>13</v>
      </c>
      <c r="AA19" s="6"/>
    </row>
    <row r="20" spans="1:27" x14ac:dyDescent="0.25">
      <c r="A20" s="10" t="s">
        <v>38</v>
      </c>
      <c r="B20" s="11">
        <v>20</v>
      </c>
      <c r="C20" s="11">
        <v>5</v>
      </c>
      <c r="D20" s="12">
        <v>6</v>
      </c>
      <c r="E20" s="12">
        <v>2</v>
      </c>
      <c r="F20" s="13" t="s">
        <v>39</v>
      </c>
      <c r="G20" s="12">
        <v>1</v>
      </c>
      <c r="H20" s="12">
        <v>0</v>
      </c>
      <c r="I20" s="12">
        <v>3</v>
      </c>
      <c r="J20" s="12">
        <v>1</v>
      </c>
      <c r="K20" s="12">
        <v>2</v>
      </c>
      <c r="L20" s="12">
        <v>1</v>
      </c>
      <c r="M20" s="12">
        <v>0</v>
      </c>
      <c r="N20" s="12">
        <v>0</v>
      </c>
      <c r="O20" s="12">
        <v>2</v>
      </c>
      <c r="P20" s="12">
        <v>0</v>
      </c>
      <c r="Q20" s="12">
        <v>4</v>
      </c>
      <c r="R20" s="12">
        <v>1</v>
      </c>
      <c r="S20" s="12">
        <v>1</v>
      </c>
      <c r="T20" s="12">
        <v>0</v>
      </c>
      <c r="U20" s="12">
        <v>0</v>
      </c>
      <c r="V20" s="12">
        <v>0</v>
      </c>
      <c r="W20" s="6">
        <f t="shared" ref="W20:X20" si="16">G20+I20+K20+M20</f>
        <v>6</v>
      </c>
      <c r="X20" s="6">
        <f t="shared" si="16"/>
        <v>2</v>
      </c>
      <c r="Y20" s="6">
        <f t="shared" si="1"/>
        <v>8</v>
      </c>
      <c r="Z20" s="14">
        <f t="shared" si="2"/>
        <v>8</v>
      </c>
      <c r="AA20" s="6"/>
    </row>
    <row r="21" spans="1:27" x14ac:dyDescent="0.25">
      <c r="A21" s="8"/>
      <c r="B21" s="8"/>
      <c r="C21" s="8"/>
      <c r="D21" s="12">
        <v>5</v>
      </c>
      <c r="E21" s="12">
        <v>2</v>
      </c>
      <c r="F21" s="13" t="s">
        <v>40</v>
      </c>
      <c r="G21" s="15">
        <v>1</v>
      </c>
      <c r="H21" s="15">
        <v>0</v>
      </c>
      <c r="I21" s="15">
        <v>1</v>
      </c>
      <c r="J21" s="15">
        <v>0</v>
      </c>
      <c r="K21" s="15">
        <v>3</v>
      </c>
      <c r="L21" s="15">
        <v>2</v>
      </c>
      <c r="M21" s="15">
        <v>0</v>
      </c>
      <c r="N21" s="15">
        <v>0</v>
      </c>
      <c r="O21" s="15">
        <v>2</v>
      </c>
      <c r="P21" s="15">
        <v>0</v>
      </c>
      <c r="Q21" s="15">
        <v>1</v>
      </c>
      <c r="R21" s="15">
        <v>1</v>
      </c>
      <c r="S21" s="15">
        <v>1</v>
      </c>
      <c r="T21" s="15">
        <v>2</v>
      </c>
      <c r="U21" s="15">
        <v>0</v>
      </c>
      <c r="V21" s="15">
        <v>0</v>
      </c>
      <c r="W21" s="6">
        <f t="shared" ref="W21:W26" si="17">G21+I21+K21+M21</f>
        <v>5</v>
      </c>
      <c r="X21" s="17">
        <v>2</v>
      </c>
      <c r="Y21" s="6">
        <f t="shared" si="1"/>
        <v>7</v>
      </c>
      <c r="Z21" s="16">
        <f t="shared" si="2"/>
        <v>7</v>
      </c>
      <c r="AA21" s="6"/>
    </row>
    <row r="22" spans="1:27" x14ac:dyDescent="0.25">
      <c r="A22" s="10" t="s">
        <v>41</v>
      </c>
      <c r="B22" s="11">
        <v>17</v>
      </c>
      <c r="C22" s="11">
        <v>3</v>
      </c>
      <c r="D22" s="12">
        <v>3</v>
      </c>
      <c r="E22" s="12">
        <v>2</v>
      </c>
      <c r="F22" s="13" t="s">
        <v>42</v>
      </c>
      <c r="G22" s="12">
        <v>0</v>
      </c>
      <c r="H22" s="12">
        <v>0</v>
      </c>
      <c r="I22" s="12">
        <v>1</v>
      </c>
      <c r="J22" s="12">
        <v>0</v>
      </c>
      <c r="K22" s="12">
        <v>1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3</v>
      </c>
      <c r="R22" s="12">
        <v>2</v>
      </c>
      <c r="S22" s="12">
        <v>1</v>
      </c>
      <c r="T22" s="12">
        <v>0</v>
      </c>
      <c r="U22" s="12">
        <v>0</v>
      </c>
      <c r="V22" s="12">
        <v>0</v>
      </c>
      <c r="W22" s="6">
        <f t="shared" si="17"/>
        <v>2</v>
      </c>
      <c r="X22" s="6">
        <f t="shared" ref="X22:X25" si="18">H22+J22+L22+N22</f>
        <v>0</v>
      </c>
      <c r="Y22" s="6">
        <f t="shared" si="1"/>
        <v>2</v>
      </c>
      <c r="Z22" s="14">
        <f t="shared" si="2"/>
        <v>2</v>
      </c>
      <c r="AA22" s="6"/>
    </row>
    <row r="23" spans="1:27" x14ac:dyDescent="0.25">
      <c r="A23" s="8"/>
      <c r="B23" s="8"/>
      <c r="C23" s="8"/>
      <c r="D23" s="12">
        <v>5</v>
      </c>
      <c r="E23" s="12">
        <v>4</v>
      </c>
      <c r="F23" s="13" t="s">
        <v>43</v>
      </c>
      <c r="G23" s="15">
        <v>0</v>
      </c>
      <c r="H23" s="15">
        <v>0</v>
      </c>
      <c r="I23" s="15">
        <v>3</v>
      </c>
      <c r="J23" s="15">
        <v>2</v>
      </c>
      <c r="K23" s="15">
        <v>2</v>
      </c>
      <c r="L23" s="15">
        <v>2</v>
      </c>
      <c r="M23" s="15">
        <v>0</v>
      </c>
      <c r="N23" s="15">
        <v>0</v>
      </c>
      <c r="O23" s="15">
        <v>0</v>
      </c>
      <c r="P23" s="15">
        <v>0</v>
      </c>
      <c r="Q23" s="15">
        <v>2</v>
      </c>
      <c r="R23" s="15">
        <v>3</v>
      </c>
      <c r="S23" s="15">
        <v>2</v>
      </c>
      <c r="T23" s="15">
        <v>1</v>
      </c>
      <c r="U23" s="15">
        <v>0</v>
      </c>
      <c r="V23" s="15">
        <v>0</v>
      </c>
      <c r="W23" s="6">
        <f t="shared" si="17"/>
        <v>5</v>
      </c>
      <c r="X23" s="6">
        <f t="shared" si="18"/>
        <v>4</v>
      </c>
      <c r="Y23" s="6">
        <f t="shared" si="1"/>
        <v>9</v>
      </c>
      <c r="Z23" s="16">
        <f t="shared" si="2"/>
        <v>9</v>
      </c>
      <c r="AA23" s="6"/>
    </row>
    <row r="24" spans="1:27" x14ac:dyDescent="0.25">
      <c r="A24" s="10" t="s">
        <v>44</v>
      </c>
      <c r="B24" s="11">
        <v>18</v>
      </c>
      <c r="C24" s="11">
        <v>2</v>
      </c>
      <c r="D24" s="12">
        <v>5</v>
      </c>
      <c r="E24" s="12">
        <v>5</v>
      </c>
      <c r="F24" s="13" t="s">
        <v>45</v>
      </c>
      <c r="G24" s="12">
        <v>0</v>
      </c>
      <c r="H24" s="12">
        <v>0</v>
      </c>
      <c r="I24" s="12">
        <v>1</v>
      </c>
      <c r="J24" s="12">
        <v>2</v>
      </c>
      <c r="K24" s="12">
        <v>4</v>
      </c>
      <c r="L24" s="12">
        <v>3</v>
      </c>
      <c r="M24" s="12">
        <v>0</v>
      </c>
      <c r="N24" s="12">
        <v>0</v>
      </c>
      <c r="O24" s="12">
        <v>1</v>
      </c>
      <c r="P24" s="12">
        <v>2</v>
      </c>
      <c r="Q24" s="12">
        <v>3</v>
      </c>
      <c r="R24" s="12">
        <v>2</v>
      </c>
      <c r="S24" s="12">
        <v>1</v>
      </c>
      <c r="T24" s="12">
        <v>1</v>
      </c>
      <c r="U24" s="12">
        <v>0</v>
      </c>
      <c r="V24" s="18"/>
      <c r="W24" s="6">
        <f t="shared" si="17"/>
        <v>5</v>
      </c>
      <c r="X24" s="6">
        <f t="shared" si="18"/>
        <v>5</v>
      </c>
      <c r="Y24" s="6">
        <f t="shared" si="1"/>
        <v>10</v>
      </c>
      <c r="Z24" s="14">
        <f t="shared" si="2"/>
        <v>10</v>
      </c>
      <c r="AA24" s="6"/>
    </row>
    <row r="25" spans="1:27" x14ac:dyDescent="0.25">
      <c r="A25" s="8"/>
      <c r="B25" s="8"/>
      <c r="C25" s="8"/>
      <c r="D25" s="12">
        <v>4</v>
      </c>
      <c r="E25" s="12">
        <v>2</v>
      </c>
      <c r="F25" s="13" t="s">
        <v>46</v>
      </c>
      <c r="G25" s="15">
        <v>0</v>
      </c>
      <c r="H25" s="15">
        <v>0</v>
      </c>
      <c r="I25" s="15">
        <v>4</v>
      </c>
      <c r="J25" s="15">
        <v>1</v>
      </c>
      <c r="K25" s="15">
        <v>0</v>
      </c>
      <c r="L25" s="15">
        <v>1</v>
      </c>
      <c r="M25" s="15">
        <v>0</v>
      </c>
      <c r="N25" s="15">
        <v>0</v>
      </c>
      <c r="O25" s="15">
        <v>1</v>
      </c>
      <c r="P25" s="15">
        <v>1</v>
      </c>
      <c r="Q25" s="15">
        <v>3</v>
      </c>
      <c r="R25" s="15">
        <v>1</v>
      </c>
      <c r="S25" s="15">
        <v>0</v>
      </c>
      <c r="T25" s="15">
        <v>0</v>
      </c>
      <c r="U25" s="15">
        <v>0</v>
      </c>
      <c r="V25" s="19"/>
      <c r="W25" s="6">
        <f t="shared" si="17"/>
        <v>4</v>
      </c>
      <c r="X25" s="6">
        <f t="shared" si="18"/>
        <v>2</v>
      </c>
      <c r="Y25" s="6">
        <f t="shared" si="1"/>
        <v>6</v>
      </c>
      <c r="Z25" s="16">
        <f t="shared" si="2"/>
        <v>6</v>
      </c>
      <c r="AA25" s="6"/>
    </row>
    <row r="26" spans="1:27" x14ac:dyDescent="0.25">
      <c r="A26" s="10" t="s">
        <v>47</v>
      </c>
      <c r="B26" s="11">
        <v>11</v>
      </c>
      <c r="C26" s="11">
        <v>4</v>
      </c>
      <c r="D26" s="12">
        <v>2</v>
      </c>
      <c r="E26" s="12">
        <v>3</v>
      </c>
      <c r="F26" s="13" t="s">
        <v>42</v>
      </c>
      <c r="G26" s="12">
        <v>0</v>
      </c>
      <c r="H26" s="12">
        <v>0</v>
      </c>
      <c r="I26" s="12">
        <v>1</v>
      </c>
      <c r="J26" s="12">
        <v>2</v>
      </c>
      <c r="K26" s="12">
        <v>1</v>
      </c>
      <c r="L26" s="12">
        <v>1</v>
      </c>
      <c r="M26" s="12">
        <v>0</v>
      </c>
      <c r="N26" s="12">
        <v>0</v>
      </c>
      <c r="O26" s="20">
        <v>2</v>
      </c>
      <c r="P26" s="20">
        <v>1</v>
      </c>
      <c r="Q26" s="20">
        <v>0</v>
      </c>
      <c r="R26" s="20">
        <v>2</v>
      </c>
      <c r="S26" s="20">
        <v>0</v>
      </c>
      <c r="T26" s="20">
        <v>0</v>
      </c>
      <c r="U26" s="20">
        <v>0</v>
      </c>
      <c r="V26" s="20">
        <v>0</v>
      </c>
      <c r="W26" s="6">
        <f t="shared" si="17"/>
        <v>2</v>
      </c>
      <c r="X26" s="17">
        <v>3</v>
      </c>
      <c r="Y26" s="6">
        <f t="shared" si="1"/>
        <v>5</v>
      </c>
      <c r="Z26" s="14">
        <f t="shared" si="2"/>
        <v>5</v>
      </c>
      <c r="AA26" s="6"/>
    </row>
    <row r="27" spans="1:27" x14ac:dyDescent="0.25">
      <c r="A27" s="8"/>
      <c r="B27" s="8"/>
      <c r="C27" s="8"/>
      <c r="D27" s="12">
        <v>1</v>
      </c>
      <c r="E27" s="12">
        <v>1</v>
      </c>
      <c r="F27" s="13" t="s">
        <v>48</v>
      </c>
      <c r="G27" s="15">
        <v>1</v>
      </c>
      <c r="H27" s="15">
        <v>0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1</v>
      </c>
      <c r="P27" s="15">
        <v>1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7">
        <v>1</v>
      </c>
      <c r="X27" s="17">
        <v>1</v>
      </c>
      <c r="Y27" s="17">
        <v>2</v>
      </c>
      <c r="Z27" s="16">
        <f t="shared" si="2"/>
        <v>2</v>
      </c>
      <c r="AA27" s="6"/>
    </row>
    <row r="28" spans="1:27" x14ac:dyDescent="0.25">
      <c r="A28" s="10" t="s">
        <v>49</v>
      </c>
      <c r="B28" s="11">
        <v>45</v>
      </c>
      <c r="C28" s="11">
        <v>9</v>
      </c>
      <c r="D28" s="12">
        <v>8</v>
      </c>
      <c r="E28" s="12">
        <v>9</v>
      </c>
      <c r="F28" s="13" t="s">
        <v>50</v>
      </c>
      <c r="G28" s="12">
        <v>0</v>
      </c>
      <c r="H28" s="12">
        <v>0</v>
      </c>
      <c r="I28" s="12">
        <v>3</v>
      </c>
      <c r="J28" s="12">
        <v>3</v>
      </c>
      <c r="K28" s="12">
        <v>4</v>
      </c>
      <c r="L28" s="12">
        <v>5</v>
      </c>
      <c r="M28" s="12">
        <v>1</v>
      </c>
      <c r="N28" s="12">
        <v>1</v>
      </c>
      <c r="O28" s="12">
        <v>3</v>
      </c>
      <c r="P28" s="12">
        <v>3</v>
      </c>
      <c r="Q28" s="12">
        <v>4</v>
      </c>
      <c r="R28" s="12">
        <v>5</v>
      </c>
      <c r="S28" s="12">
        <v>1</v>
      </c>
      <c r="T28" s="12">
        <v>1</v>
      </c>
      <c r="U28" s="12">
        <v>0</v>
      </c>
      <c r="V28" s="12">
        <v>0</v>
      </c>
      <c r="W28" s="6">
        <f t="shared" ref="W28:X28" si="19">G28+I28+K28+M28</f>
        <v>8</v>
      </c>
      <c r="X28" s="6">
        <f t="shared" si="19"/>
        <v>9</v>
      </c>
      <c r="Y28" s="6">
        <f t="shared" ref="Y28:Y39" si="20">W28+X28</f>
        <v>17</v>
      </c>
      <c r="Z28" s="14">
        <f t="shared" si="2"/>
        <v>17</v>
      </c>
      <c r="AA28" s="6"/>
    </row>
    <row r="29" spans="1:27" x14ac:dyDescent="0.25">
      <c r="A29" s="8"/>
      <c r="B29" s="8"/>
      <c r="C29" s="8"/>
      <c r="D29" s="12">
        <v>9</v>
      </c>
      <c r="E29" s="12">
        <v>10</v>
      </c>
      <c r="F29" s="13" t="s">
        <v>51</v>
      </c>
      <c r="G29" s="15">
        <v>0</v>
      </c>
      <c r="H29" s="15">
        <v>0</v>
      </c>
      <c r="I29" s="15">
        <v>3</v>
      </c>
      <c r="J29" s="15">
        <v>5</v>
      </c>
      <c r="K29" s="15">
        <v>6</v>
      </c>
      <c r="L29" s="15">
        <v>5</v>
      </c>
      <c r="M29" s="15">
        <v>0</v>
      </c>
      <c r="N29" s="15">
        <v>0</v>
      </c>
      <c r="O29" s="15">
        <v>3</v>
      </c>
      <c r="P29" s="15">
        <v>5</v>
      </c>
      <c r="Q29" s="15">
        <v>6</v>
      </c>
      <c r="R29" s="15">
        <v>5</v>
      </c>
      <c r="S29" s="15">
        <v>0</v>
      </c>
      <c r="T29" s="15">
        <v>0</v>
      </c>
      <c r="U29" s="15">
        <v>0</v>
      </c>
      <c r="V29" s="15">
        <v>0</v>
      </c>
      <c r="W29" s="6">
        <f t="shared" ref="W29:X29" si="21">G29+I29+K29+M29</f>
        <v>9</v>
      </c>
      <c r="X29" s="6">
        <f t="shared" si="21"/>
        <v>10</v>
      </c>
      <c r="Y29" s="6">
        <f t="shared" si="20"/>
        <v>19</v>
      </c>
      <c r="Z29" s="16">
        <f t="shared" si="2"/>
        <v>19</v>
      </c>
      <c r="AA29" s="6"/>
    </row>
    <row r="30" spans="1:27" x14ac:dyDescent="0.25">
      <c r="A30" s="10" t="s">
        <v>52</v>
      </c>
      <c r="B30" s="11">
        <v>35</v>
      </c>
      <c r="C30" s="11">
        <v>4</v>
      </c>
      <c r="D30" s="12">
        <v>4</v>
      </c>
      <c r="E30" s="12">
        <v>6</v>
      </c>
      <c r="F30" s="13" t="s">
        <v>53</v>
      </c>
      <c r="G30" s="12">
        <v>1</v>
      </c>
      <c r="H30" s="12">
        <v>2</v>
      </c>
      <c r="I30" s="12">
        <v>2</v>
      </c>
      <c r="J30" s="12">
        <v>2</v>
      </c>
      <c r="K30" s="12">
        <v>1</v>
      </c>
      <c r="L30" s="12">
        <v>2</v>
      </c>
      <c r="M30" s="12">
        <v>0</v>
      </c>
      <c r="N30" s="12">
        <v>0</v>
      </c>
      <c r="O30" s="12">
        <v>2</v>
      </c>
      <c r="P30" s="12">
        <v>2</v>
      </c>
      <c r="Q30" s="12">
        <v>1</v>
      </c>
      <c r="R30" s="12">
        <v>1</v>
      </c>
      <c r="S30" s="12">
        <v>1</v>
      </c>
      <c r="T30" s="12">
        <v>1</v>
      </c>
      <c r="U30" s="12">
        <v>0</v>
      </c>
      <c r="V30" s="12">
        <v>0</v>
      </c>
      <c r="W30" s="6">
        <f t="shared" ref="W30:X30" si="22">G30+I30+K30+M30</f>
        <v>4</v>
      </c>
      <c r="X30" s="6">
        <f t="shared" si="22"/>
        <v>6</v>
      </c>
      <c r="Y30" s="6">
        <f t="shared" si="20"/>
        <v>10</v>
      </c>
      <c r="Z30" s="14">
        <f t="shared" si="2"/>
        <v>10</v>
      </c>
      <c r="AA30" s="6"/>
    </row>
    <row r="31" spans="1:27" x14ac:dyDescent="0.25">
      <c r="A31" s="8"/>
      <c r="B31" s="8"/>
      <c r="C31" s="8"/>
      <c r="D31" s="12">
        <v>11</v>
      </c>
      <c r="E31" s="12">
        <v>10</v>
      </c>
      <c r="F31" s="13" t="s">
        <v>54</v>
      </c>
      <c r="G31" s="15">
        <v>4</v>
      </c>
      <c r="H31" s="15">
        <v>2</v>
      </c>
      <c r="I31" s="15">
        <v>4</v>
      </c>
      <c r="J31" s="15">
        <v>5</v>
      </c>
      <c r="K31" s="15">
        <v>3</v>
      </c>
      <c r="L31" s="15">
        <v>3</v>
      </c>
      <c r="M31" s="15">
        <v>0</v>
      </c>
      <c r="N31" s="15">
        <v>0</v>
      </c>
      <c r="O31" s="15">
        <v>6</v>
      </c>
      <c r="P31" s="15">
        <v>5</v>
      </c>
      <c r="Q31" s="15">
        <v>3</v>
      </c>
      <c r="R31" s="15">
        <v>3</v>
      </c>
      <c r="S31" s="15">
        <v>1</v>
      </c>
      <c r="T31" s="15">
        <v>1</v>
      </c>
      <c r="U31" s="15">
        <v>0</v>
      </c>
      <c r="V31" s="15">
        <v>0</v>
      </c>
      <c r="W31" s="6">
        <f t="shared" ref="W31:X31" si="23">G31+I31+K31+M31</f>
        <v>11</v>
      </c>
      <c r="X31" s="6">
        <f t="shared" si="23"/>
        <v>10</v>
      </c>
      <c r="Y31" s="6">
        <f t="shared" si="20"/>
        <v>21</v>
      </c>
      <c r="Z31" s="16">
        <f t="shared" si="2"/>
        <v>21</v>
      </c>
      <c r="AA31" s="6"/>
    </row>
    <row r="32" spans="1:27" x14ac:dyDescent="0.25">
      <c r="A32" s="10" t="s">
        <v>55</v>
      </c>
      <c r="B32" s="11">
        <v>54</v>
      </c>
      <c r="C32" s="11">
        <v>6</v>
      </c>
      <c r="D32" s="12">
        <v>10</v>
      </c>
      <c r="E32" s="12">
        <v>9</v>
      </c>
      <c r="F32" s="13" t="s">
        <v>56</v>
      </c>
      <c r="G32" s="12">
        <v>1</v>
      </c>
      <c r="H32" s="12">
        <v>0</v>
      </c>
      <c r="I32" s="12">
        <v>3</v>
      </c>
      <c r="J32" s="12">
        <v>3</v>
      </c>
      <c r="K32" s="12">
        <v>6</v>
      </c>
      <c r="L32" s="12">
        <v>6</v>
      </c>
      <c r="M32" s="12">
        <v>0</v>
      </c>
      <c r="N32" s="12">
        <v>0</v>
      </c>
      <c r="O32" s="12">
        <v>2</v>
      </c>
      <c r="P32" s="12">
        <v>2</v>
      </c>
      <c r="Q32" s="12">
        <v>6</v>
      </c>
      <c r="R32" s="12">
        <v>6</v>
      </c>
      <c r="S32" s="12">
        <v>2</v>
      </c>
      <c r="T32" s="12">
        <v>1</v>
      </c>
      <c r="U32" s="12">
        <v>0</v>
      </c>
      <c r="V32" s="12">
        <v>0</v>
      </c>
      <c r="W32" s="6">
        <f t="shared" ref="W32:X32" si="24">G32+I32+K32+M32</f>
        <v>10</v>
      </c>
      <c r="X32" s="6">
        <f t="shared" si="24"/>
        <v>9</v>
      </c>
      <c r="Y32" s="6">
        <f t="shared" si="20"/>
        <v>19</v>
      </c>
      <c r="Z32" s="14">
        <f t="shared" si="2"/>
        <v>19</v>
      </c>
      <c r="AA32" s="6"/>
    </row>
    <row r="33" spans="1:27" x14ac:dyDescent="0.25">
      <c r="A33" s="8"/>
      <c r="B33" s="8"/>
      <c r="C33" s="8"/>
      <c r="D33" s="12">
        <v>18</v>
      </c>
      <c r="E33" s="12">
        <v>11</v>
      </c>
      <c r="F33" s="13" t="s">
        <v>57</v>
      </c>
      <c r="G33" s="15">
        <v>2</v>
      </c>
      <c r="H33" s="15">
        <v>3</v>
      </c>
      <c r="I33" s="15">
        <v>9</v>
      </c>
      <c r="J33" s="15">
        <v>6</v>
      </c>
      <c r="K33" s="15">
        <v>7</v>
      </c>
      <c r="L33" s="15">
        <v>2</v>
      </c>
      <c r="M33" s="15">
        <v>0</v>
      </c>
      <c r="N33" s="15">
        <v>0</v>
      </c>
      <c r="O33" s="15">
        <v>4</v>
      </c>
      <c r="P33" s="15">
        <v>4</v>
      </c>
      <c r="Q33" s="15">
        <v>10</v>
      </c>
      <c r="R33" s="15">
        <v>7</v>
      </c>
      <c r="S33" s="15">
        <v>4</v>
      </c>
      <c r="T33" s="15">
        <v>0</v>
      </c>
      <c r="U33" s="15">
        <v>0</v>
      </c>
      <c r="V33" s="15">
        <v>0</v>
      </c>
      <c r="W33" s="6">
        <f t="shared" ref="W33:X33" si="25">G33+I33+K33+M33</f>
        <v>18</v>
      </c>
      <c r="X33" s="6">
        <f t="shared" si="25"/>
        <v>11</v>
      </c>
      <c r="Y33" s="6">
        <f t="shared" si="20"/>
        <v>29</v>
      </c>
      <c r="Z33" s="16">
        <f t="shared" si="2"/>
        <v>29</v>
      </c>
      <c r="AA33" s="6"/>
    </row>
    <row r="34" spans="1:27" x14ac:dyDescent="0.25">
      <c r="A34" s="10" t="s">
        <v>58</v>
      </c>
      <c r="B34" s="11">
        <v>15</v>
      </c>
      <c r="C34" s="11">
        <v>3</v>
      </c>
      <c r="D34" s="12">
        <v>5</v>
      </c>
      <c r="E34" s="12">
        <v>4</v>
      </c>
      <c r="F34" s="13" t="s">
        <v>59</v>
      </c>
      <c r="G34" s="12">
        <v>0</v>
      </c>
      <c r="H34" s="12">
        <v>1</v>
      </c>
      <c r="I34" s="12">
        <v>1</v>
      </c>
      <c r="J34" s="12">
        <v>1</v>
      </c>
      <c r="K34" s="12">
        <v>3</v>
      </c>
      <c r="L34" s="12">
        <v>2</v>
      </c>
      <c r="M34" s="12">
        <v>1</v>
      </c>
      <c r="N34" s="12">
        <v>0</v>
      </c>
      <c r="O34" s="12">
        <v>1</v>
      </c>
      <c r="P34" s="12">
        <v>2</v>
      </c>
      <c r="Q34" s="12">
        <v>1</v>
      </c>
      <c r="R34" s="12">
        <v>3</v>
      </c>
      <c r="S34" s="12">
        <v>1</v>
      </c>
      <c r="T34" s="12">
        <v>0</v>
      </c>
      <c r="U34" s="12">
        <v>1</v>
      </c>
      <c r="V34" s="12">
        <v>0</v>
      </c>
      <c r="W34" s="6">
        <f t="shared" ref="W34:X34" si="26">G34+I34+K34+M34</f>
        <v>5</v>
      </c>
      <c r="X34" s="6">
        <f t="shared" si="26"/>
        <v>4</v>
      </c>
      <c r="Y34" s="6">
        <f t="shared" si="20"/>
        <v>9</v>
      </c>
      <c r="Z34" s="14">
        <f t="shared" si="2"/>
        <v>9</v>
      </c>
      <c r="AA34" s="6"/>
    </row>
    <row r="35" spans="1:27" x14ac:dyDescent="0.25">
      <c r="A35" s="8"/>
      <c r="B35" s="8"/>
      <c r="C35" s="8"/>
      <c r="D35" s="12">
        <v>2</v>
      </c>
      <c r="E35" s="12">
        <v>1</v>
      </c>
      <c r="F35" s="13" t="s">
        <v>60</v>
      </c>
      <c r="G35" s="15">
        <v>0</v>
      </c>
      <c r="H35" s="15">
        <v>0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1</v>
      </c>
      <c r="R35" s="15">
        <v>2</v>
      </c>
      <c r="S35" s="15">
        <v>0</v>
      </c>
      <c r="T35" s="15">
        <v>0</v>
      </c>
      <c r="U35" s="15">
        <v>0</v>
      </c>
      <c r="V35" s="15">
        <v>0</v>
      </c>
      <c r="W35" s="6">
        <f t="shared" ref="W35:X35" si="27">G35+I35+K35+M35</f>
        <v>2</v>
      </c>
      <c r="X35" s="6">
        <f t="shared" si="27"/>
        <v>1</v>
      </c>
      <c r="Y35" s="6">
        <f t="shared" si="20"/>
        <v>3</v>
      </c>
      <c r="Z35" s="16">
        <f t="shared" si="2"/>
        <v>3</v>
      </c>
      <c r="AA35" s="6"/>
    </row>
    <row r="36" spans="1:27" x14ac:dyDescent="0.25">
      <c r="A36" s="10" t="s">
        <v>61</v>
      </c>
      <c r="B36" s="11">
        <v>106</v>
      </c>
      <c r="C36" s="11">
        <v>88</v>
      </c>
      <c r="D36" s="12">
        <v>0</v>
      </c>
      <c r="E36" s="12">
        <v>0</v>
      </c>
      <c r="F36" s="13" t="s">
        <v>62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6">
        <f t="shared" ref="W36:X36" si="28">G36+I36+K36+M36</f>
        <v>0</v>
      </c>
      <c r="X36" s="6">
        <f t="shared" si="28"/>
        <v>0</v>
      </c>
      <c r="Y36" s="6">
        <f t="shared" si="20"/>
        <v>0</v>
      </c>
      <c r="Z36" s="14">
        <f t="shared" si="2"/>
        <v>0</v>
      </c>
      <c r="AA36" s="6"/>
    </row>
    <row r="37" spans="1:27" x14ac:dyDescent="0.25">
      <c r="A37" s="8"/>
      <c r="B37" s="8"/>
      <c r="C37" s="8"/>
      <c r="D37" s="12">
        <v>11</v>
      </c>
      <c r="E37" s="12">
        <v>7</v>
      </c>
      <c r="F37" s="13" t="s">
        <v>63</v>
      </c>
      <c r="G37" s="15">
        <v>0</v>
      </c>
      <c r="H37" s="15">
        <v>0</v>
      </c>
      <c r="I37" s="15">
        <v>2</v>
      </c>
      <c r="J37" s="15">
        <v>5</v>
      </c>
      <c r="K37" s="15">
        <v>6</v>
      </c>
      <c r="L37" s="15">
        <v>0</v>
      </c>
      <c r="M37" s="15">
        <v>3</v>
      </c>
      <c r="N37" s="15">
        <v>2</v>
      </c>
      <c r="O37" s="15">
        <v>3</v>
      </c>
      <c r="P37" s="15">
        <v>2</v>
      </c>
      <c r="Q37" s="15">
        <v>5</v>
      </c>
      <c r="R37" s="15">
        <v>3</v>
      </c>
      <c r="S37" s="15">
        <v>3</v>
      </c>
      <c r="T37" s="15">
        <v>2</v>
      </c>
      <c r="U37" s="15">
        <v>0</v>
      </c>
      <c r="V37" s="15">
        <v>0</v>
      </c>
      <c r="W37" s="6">
        <f t="shared" ref="W37:X37" si="29">G37+I37+K37+M37</f>
        <v>11</v>
      </c>
      <c r="X37" s="6">
        <f t="shared" si="29"/>
        <v>7</v>
      </c>
      <c r="Y37" s="6">
        <f t="shared" si="20"/>
        <v>18</v>
      </c>
      <c r="Z37" s="16">
        <f t="shared" si="2"/>
        <v>18</v>
      </c>
      <c r="AA37" s="6"/>
    </row>
    <row r="38" spans="1:27" x14ac:dyDescent="0.25">
      <c r="A38" s="10" t="s">
        <v>64</v>
      </c>
      <c r="B38" s="21">
        <f t="shared" ref="B38:C38" si="30">SUM(B4:B37)</f>
        <v>844</v>
      </c>
      <c r="C38" s="21">
        <f t="shared" si="30"/>
        <v>233</v>
      </c>
      <c r="D38" s="12">
        <v>155</v>
      </c>
      <c r="E38" s="12">
        <v>112</v>
      </c>
      <c r="F38" s="13" t="s">
        <v>65</v>
      </c>
      <c r="G38" s="17">
        <v>9</v>
      </c>
      <c r="H38" s="17">
        <v>10</v>
      </c>
      <c r="I38" s="17">
        <v>34</v>
      </c>
      <c r="J38" s="17">
        <v>34</v>
      </c>
      <c r="K38" s="17">
        <v>104</v>
      </c>
      <c r="L38" s="17">
        <v>67</v>
      </c>
      <c r="M38" s="17">
        <v>10</v>
      </c>
      <c r="N38" s="17">
        <v>1</v>
      </c>
      <c r="O38" s="22">
        <v>59</v>
      </c>
      <c r="P38" s="23">
        <v>40</v>
      </c>
      <c r="Q38" s="23">
        <v>65</v>
      </c>
      <c r="R38" s="23">
        <v>50</v>
      </c>
      <c r="S38" s="23">
        <v>29</v>
      </c>
      <c r="T38" s="23">
        <v>21</v>
      </c>
      <c r="U38" s="23">
        <v>3</v>
      </c>
      <c r="V38" s="23">
        <v>0</v>
      </c>
      <c r="W38" s="6">
        <f t="shared" ref="W38:X38" si="31">G38+I38+K38+M38</f>
        <v>157</v>
      </c>
      <c r="X38" s="6">
        <f t="shared" si="31"/>
        <v>112</v>
      </c>
      <c r="Y38" s="6">
        <f t="shared" si="20"/>
        <v>269</v>
      </c>
      <c r="Z38" s="6">
        <f>SUM(Z4:Z37)</f>
        <v>607</v>
      </c>
      <c r="AA38" s="6"/>
    </row>
    <row r="39" spans="1:27" x14ac:dyDescent="0.25">
      <c r="A39" s="8"/>
      <c r="B39" s="8"/>
      <c r="C39" s="8"/>
      <c r="D39" s="12">
        <v>172</v>
      </c>
      <c r="E39" s="12">
        <v>172</v>
      </c>
      <c r="F39" s="13" t="s">
        <v>66</v>
      </c>
      <c r="G39" s="12">
        <v>34</v>
      </c>
      <c r="H39" s="12">
        <v>30</v>
      </c>
      <c r="I39" s="12">
        <v>86</v>
      </c>
      <c r="J39" s="12">
        <v>89</v>
      </c>
      <c r="K39" s="12">
        <v>48</v>
      </c>
      <c r="L39" s="12">
        <v>51</v>
      </c>
      <c r="M39" s="12">
        <v>4</v>
      </c>
      <c r="N39" s="12">
        <v>2</v>
      </c>
      <c r="O39" s="24">
        <v>90</v>
      </c>
      <c r="P39" s="25">
        <v>134</v>
      </c>
      <c r="Q39" s="25">
        <v>60</v>
      </c>
      <c r="R39" s="25">
        <v>68</v>
      </c>
      <c r="S39" s="25">
        <v>19</v>
      </c>
      <c r="T39" s="25">
        <v>24</v>
      </c>
      <c r="U39" s="25">
        <v>0</v>
      </c>
      <c r="V39" s="25">
        <v>0</v>
      </c>
      <c r="W39" s="6">
        <f t="shared" ref="W39:X39" si="32">G39+I39+K39+M39</f>
        <v>172</v>
      </c>
      <c r="X39" s="6">
        <f t="shared" si="32"/>
        <v>172</v>
      </c>
      <c r="Y39" s="6">
        <f t="shared" si="20"/>
        <v>344</v>
      </c>
      <c r="Z39" s="6"/>
      <c r="AA39" s="6"/>
    </row>
    <row r="40" spans="1:27" x14ac:dyDescent="0.25">
      <c r="A40" s="2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</sheetData>
  <mergeCells count="70">
    <mergeCell ref="C1:E1"/>
    <mergeCell ref="G1:N1"/>
    <mergeCell ref="O1:V1"/>
    <mergeCell ref="A1:A3"/>
    <mergeCell ref="B1:B3"/>
    <mergeCell ref="D2:E2"/>
    <mergeCell ref="F1:F3"/>
    <mergeCell ref="G2:H2"/>
    <mergeCell ref="I2:J2"/>
    <mergeCell ref="K2:L2"/>
    <mergeCell ref="M2:N2"/>
    <mergeCell ref="O2:P2"/>
    <mergeCell ref="Q2:R2"/>
    <mergeCell ref="S2:T2"/>
    <mergeCell ref="U2:V2"/>
    <mergeCell ref="C2:C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4:A25"/>
    <mergeCell ref="B24:B25"/>
    <mergeCell ref="C24:C25"/>
    <mergeCell ref="A26:A27"/>
    <mergeCell ref="B26:B27"/>
    <mergeCell ref="C26:C27"/>
    <mergeCell ref="A28:A29"/>
    <mergeCell ref="B28:B29"/>
    <mergeCell ref="C28:C29"/>
    <mergeCell ref="A30:A31"/>
    <mergeCell ref="B30:B31"/>
    <mergeCell ref="C30:C31"/>
    <mergeCell ref="A32:A33"/>
    <mergeCell ref="B32:B33"/>
    <mergeCell ref="C32:C33"/>
    <mergeCell ref="A34:A35"/>
    <mergeCell ref="B34:B35"/>
    <mergeCell ref="C34:C35"/>
    <mergeCell ref="A36:A37"/>
    <mergeCell ref="B36:B37"/>
    <mergeCell ref="C36:C37"/>
    <mergeCell ref="A38:A39"/>
    <mergeCell ref="B38:B39"/>
    <mergeCell ref="C38:C39"/>
  </mergeCells>
  <printOptions gridLines="1" horizontalCentered="1"/>
  <pageMargins left="0.7" right="0.7" top="0.75" bottom="0.75" header="0" footer="0"/>
  <pageSetup paperSize="9" orientation="landscape" horizontalDpi="4294967295" verticalDpi="4294967295" pageOrder="overThenDown" cellComments="atEnd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1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5.13" customWidth="1"/>
    <col min="3" max="3" width="14.63" customWidth="1"/>
    <col min="4" max="4" width="14.13" customWidth="1"/>
    <col min="5" max="5" width="16" customWidth="1"/>
  </cols>
  <sheetData>
    <row r="1" ht="25.5" customHeight="1" spans="1:22" x14ac:dyDescent="0.25">
      <c r="A1" s="27" t="s">
        <v>0</v>
      </c>
      <c r="B1" s="28" t="s">
        <v>1</v>
      </c>
      <c r="C1" s="29" t="s">
        <v>2</v>
      </c>
      <c r="D1" s="3"/>
      <c r="E1" s="4"/>
      <c r="F1" s="30" t="s">
        <v>3</v>
      </c>
      <c r="G1" s="29" t="s">
        <v>4</v>
      </c>
      <c r="H1" s="3"/>
      <c r="I1" s="3"/>
      <c r="J1" s="3"/>
      <c r="K1" s="3"/>
      <c r="L1" s="3"/>
      <c r="M1" s="3"/>
      <c r="N1" s="4"/>
      <c r="O1" s="29" t="s">
        <v>5</v>
      </c>
      <c r="P1" s="3"/>
      <c r="Q1" s="3"/>
      <c r="R1" s="3"/>
      <c r="S1" s="3"/>
      <c r="T1" s="3"/>
      <c r="U1" s="3"/>
      <c r="V1" s="4"/>
    </row>
    <row r="2" ht="27" customHeight="1" spans="1:22" x14ac:dyDescent="0.25">
      <c r="A2" s="7"/>
      <c r="B2" s="7"/>
      <c r="C2" s="30" t="s">
        <v>6</v>
      </c>
      <c r="D2" s="29" t="s">
        <v>7</v>
      </c>
      <c r="E2" s="4"/>
      <c r="F2" s="7"/>
      <c r="G2" s="29" t="s">
        <v>8</v>
      </c>
      <c r="H2" s="4"/>
      <c r="I2" s="29" t="s">
        <v>9</v>
      </c>
      <c r="J2" s="4"/>
      <c r="K2" s="29" t="s">
        <v>10</v>
      </c>
      <c r="L2" s="4"/>
      <c r="M2" s="29" t="s">
        <v>11</v>
      </c>
      <c r="N2" s="4"/>
      <c r="O2" s="29" t="s">
        <v>8</v>
      </c>
      <c r="P2" s="4"/>
      <c r="Q2" s="29" t="s">
        <v>9</v>
      </c>
      <c r="R2" s="4"/>
      <c r="S2" s="29" t="s">
        <v>10</v>
      </c>
      <c r="T2" s="4"/>
      <c r="U2" s="29" t="s">
        <v>11</v>
      </c>
      <c r="V2" s="4"/>
    </row>
    <row r="3" spans="1:22" x14ac:dyDescent="0.25">
      <c r="A3" s="8"/>
      <c r="B3" s="8"/>
      <c r="C3" s="8"/>
      <c r="D3" s="31" t="s">
        <v>12</v>
      </c>
      <c r="E3" s="31" t="s">
        <v>13</v>
      </c>
      <c r="F3" s="8"/>
      <c r="G3" s="31" t="s">
        <v>12</v>
      </c>
      <c r="H3" s="31" t="s">
        <v>13</v>
      </c>
      <c r="I3" s="31" t="s">
        <v>12</v>
      </c>
      <c r="J3" s="31" t="s">
        <v>13</v>
      </c>
      <c r="K3" s="31" t="s">
        <v>12</v>
      </c>
      <c r="L3" s="31" t="s">
        <v>13</v>
      </c>
      <c r="M3" s="31" t="s">
        <v>12</v>
      </c>
      <c r="N3" s="31" t="s">
        <v>13</v>
      </c>
      <c r="O3" s="31" t="s">
        <v>12</v>
      </c>
      <c r="P3" s="31" t="s">
        <v>13</v>
      </c>
      <c r="Q3" s="31" t="s">
        <v>12</v>
      </c>
      <c r="R3" s="31" t="s">
        <v>13</v>
      </c>
      <c r="S3" s="31" t="s">
        <v>12</v>
      </c>
      <c r="T3" s="31" t="s">
        <v>13</v>
      </c>
      <c r="U3" s="31" t="s">
        <v>12</v>
      </c>
      <c r="V3" s="31" t="s">
        <v>13</v>
      </c>
    </row>
    <row r="4" spans="1:26" x14ac:dyDescent="0.25">
      <c r="A4" s="32" t="s">
        <v>14</v>
      </c>
      <c r="B4" s="33">
        <v>167</v>
      </c>
      <c r="C4" s="33">
        <v>82</v>
      </c>
      <c r="D4" s="34">
        <v>0</v>
      </c>
      <c r="E4" s="34">
        <v>0</v>
      </c>
      <c r="F4" s="35" t="s">
        <v>67</v>
      </c>
      <c r="G4" s="36">
        <v>0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7">
        <f t="shared" ref="W4:X4" si="0">G4+I4+K4+M4</f>
        <v>0</v>
      </c>
      <c r="X4" s="37">
        <f t="shared" si="0"/>
        <v>0</v>
      </c>
      <c r="Y4" s="37">
        <f t="shared" ref="Y4:Y24" si="1">W4+X4</f>
        <v>0</v>
      </c>
      <c r="Z4" s="36">
        <f t="shared" ref="Z4:Z34" si="2">W4+X4</f>
        <v>0</v>
      </c>
    </row>
    <row r="5" spans="1:26" x14ac:dyDescent="0.25">
      <c r="A5" s="8"/>
      <c r="B5" s="8"/>
      <c r="C5" s="8"/>
      <c r="D5" s="34">
        <v>42</v>
      </c>
      <c r="E5" s="34">
        <v>40</v>
      </c>
      <c r="F5" s="35" t="s">
        <v>68</v>
      </c>
      <c r="G5" s="34">
        <v>10</v>
      </c>
      <c r="H5" s="34">
        <v>10</v>
      </c>
      <c r="I5" s="34">
        <v>20</v>
      </c>
      <c r="J5" s="34">
        <v>20</v>
      </c>
      <c r="K5" s="34">
        <v>12</v>
      </c>
      <c r="L5" s="34">
        <v>10</v>
      </c>
      <c r="M5" s="34">
        <v>0</v>
      </c>
      <c r="N5" s="34">
        <v>0</v>
      </c>
      <c r="O5" s="34">
        <v>25</v>
      </c>
      <c r="P5" s="34">
        <v>30</v>
      </c>
      <c r="Q5" s="34">
        <v>11</v>
      </c>
      <c r="R5" s="34">
        <v>12</v>
      </c>
      <c r="S5" s="34">
        <v>4</v>
      </c>
      <c r="T5" s="34">
        <v>2</v>
      </c>
      <c r="U5" s="34">
        <v>0</v>
      </c>
      <c r="V5" s="34">
        <v>0</v>
      </c>
      <c r="W5" s="37">
        <f t="shared" ref="W5:X5" si="3">G5+I5+K5+M5</f>
        <v>42</v>
      </c>
      <c r="X5" s="37">
        <f t="shared" si="3"/>
        <v>40</v>
      </c>
      <c r="Y5" s="37">
        <f t="shared" si="1"/>
        <v>82</v>
      </c>
      <c r="Z5" s="34">
        <f t="shared" si="2"/>
        <v>82</v>
      </c>
    </row>
    <row r="6" spans="1:26" x14ac:dyDescent="0.25">
      <c r="A6" s="32" t="s">
        <v>17</v>
      </c>
      <c r="B6" s="33">
        <v>34</v>
      </c>
      <c r="C6" s="33">
        <v>6</v>
      </c>
      <c r="D6" s="34">
        <v>10</v>
      </c>
      <c r="E6" s="34">
        <v>7</v>
      </c>
      <c r="F6" s="35" t="s">
        <v>69</v>
      </c>
      <c r="G6" s="36">
        <v>1</v>
      </c>
      <c r="H6" s="36">
        <v>1</v>
      </c>
      <c r="I6" s="36">
        <v>1</v>
      </c>
      <c r="J6" s="36">
        <v>2</v>
      </c>
      <c r="K6" s="36">
        <v>8</v>
      </c>
      <c r="L6" s="36">
        <v>4</v>
      </c>
      <c r="M6" s="36">
        <v>0</v>
      </c>
      <c r="N6" s="36">
        <v>0</v>
      </c>
      <c r="O6" s="34">
        <v>4</v>
      </c>
      <c r="P6" s="34">
        <v>5</v>
      </c>
      <c r="Q6" s="34">
        <v>5</v>
      </c>
      <c r="R6" s="34">
        <v>3</v>
      </c>
      <c r="S6" s="34">
        <v>2</v>
      </c>
      <c r="T6" s="34">
        <v>1</v>
      </c>
      <c r="U6" s="34">
        <v>0</v>
      </c>
      <c r="V6" s="34">
        <v>0</v>
      </c>
      <c r="W6" s="37">
        <f t="shared" ref="W6:X6" si="4">G6+I6+K6+M6</f>
        <v>10</v>
      </c>
      <c r="X6" s="37">
        <f t="shared" si="4"/>
        <v>7</v>
      </c>
      <c r="Y6" s="37">
        <f t="shared" si="1"/>
        <v>17</v>
      </c>
      <c r="Z6" s="36">
        <f t="shared" si="2"/>
        <v>17</v>
      </c>
    </row>
    <row r="7" spans="1:26" x14ac:dyDescent="0.25">
      <c r="A7" s="8"/>
      <c r="B7" s="8"/>
      <c r="C7" s="8"/>
      <c r="D7" s="34">
        <v>6</v>
      </c>
      <c r="E7" s="34">
        <v>5</v>
      </c>
      <c r="F7" s="35" t="s">
        <v>70</v>
      </c>
      <c r="G7" s="34">
        <v>0</v>
      </c>
      <c r="H7" s="34">
        <v>0</v>
      </c>
      <c r="I7" s="34">
        <v>1</v>
      </c>
      <c r="J7" s="34">
        <v>2</v>
      </c>
      <c r="K7" s="34">
        <v>5</v>
      </c>
      <c r="L7" s="34">
        <v>3</v>
      </c>
      <c r="M7" s="34">
        <v>0</v>
      </c>
      <c r="N7" s="34">
        <v>0</v>
      </c>
      <c r="O7" s="34">
        <v>3</v>
      </c>
      <c r="P7" s="34">
        <v>3</v>
      </c>
      <c r="Q7" s="34">
        <v>4</v>
      </c>
      <c r="R7" s="34">
        <v>3</v>
      </c>
      <c r="S7" s="34">
        <v>1</v>
      </c>
      <c r="T7" s="34">
        <v>0</v>
      </c>
      <c r="U7" s="34">
        <v>0</v>
      </c>
      <c r="V7" s="34">
        <v>0</v>
      </c>
      <c r="W7" s="37">
        <f t="shared" ref="W7:X7" si="5">G7+I7+K7+M7</f>
        <v>6</v>
      </c>
      <c r="X7" s="37">
        <f t="shared" si="5"/>
        <v>5</v>
      </c>
      <c r="Y7" s="37">
        <f t="shared" si="1"/>
        <v>11</v>
      </c>
      <c r="Z7" s="34">
        <f t="shared" si="2"/>
        <v>11</v>
      </c>
    </row>
    <row r="8" spans="1:26" x14ac:dyDescent="0.25">
      <c r="A8" s="32" t="s">
        <v>20</v>
      </c>
      <c r="B8" s="33">
        <v>47</v>
      </c>
      <c r="C8" s="33">
        <v>22</v>
      </c>
      <c r="D8" s="34">
        <v>8</v>
      </c>
      <c r="E8" s="34">
        <v>9</v>
      </c>
      <c r="F8" s="35" t="s">
        <v>69</v>
      </c>
      <c r="G8" s="36">
        <v>0</v>
      </c>
      <c r="H8" s="36">
        <v>0</v>
      </c>
      <c r="I8" s="36">
        <v>2</v>
      </c>
      <c r="J8" s="36">
        <v>5</v>
      </c>
      <c r="K8" s="36">
        <v>6</v>
      </c>
      <c r="L8" s="36">
        <v>4</v>
      </c>
      <c r="M8" s="36">
        <v>0</v>
      </c>
      <c r="N8" s="36">
        <v>0</v>
      </c>
      <c r="O8" s="34">
        <v>2</v>
      </c>
      <c r="P8" s="34">
        <v>6</v>
      </c>
      <c r="Q8" s="34">
        <v>4</v>
      </c>
      <c r="R8" s="34">
        <v>2</v>
      </c>
      <c r="S8" s="34">
        <v>2</v>
      </c>
      <c r="T8" s="34">
        <v>2</v>
      </c>
      <c r="U8" s="34">
        <v>0</v>
      </c>
      <c r="V8" s="34">
        <v>0</v>
      </c>
      <c r="W8" s="37">
        <f t="shared" ref="W8:X8" si="6">G8+I8+K8+M8</f>
        <v>8</v>
      </c>
      <c r="X8" s="37">
        <f t="shared" si="6"/>
        <v>9</v>
      </c>
      <c r="Y8" s="37">
        <f t="shared" si="1"/>
        <v>17</v>
      </c>
      <c r="Z8" s="36">
        <f t="shared" si="2"/>
        <v>17</v>
      </c>
    </row>
    <row r="9" spans="1:26" x14ac:dyDescent="0.25">
      <c r="A9" s="8"/>
      <c r="B9" s="8"/>
      <c r="C9" s="8"/>
      <c r="D9" s="34">
        <v>3</v>
      </c>
      <c r="E9" s="34">
        <v>5</v>
      </c>
      <c r="F9" s="35" t="s">
        <v>71</v>
      </c>
      <c r="G9" s="34">
        <v>0</v>
      </c>
      <c r="H9" s="34">
        <v>0</v>
      </c>
      <c r="I9" s="34">
        <v>1</v>
      </c>
      <c r="J9" s="34">
        <v>2</v>
      </c>
      <c r="K9" s="34">
        <v>2</v>
      </c>
      <c r="L9" s="34">
        <v>3</v>
      </c>
      <c r="M9" s="34">
        <v>0</v>
      </c>
      <c r="N9" s="34">
        <v>0</v>
      </c>
      <c r="O9" s="34">
        <v>1</v>
      </c>
      <c r="P9" s="34">
        <v>2</v>
      </c>
      <c r="Q9" s="34">
        <v>2</v>
      </c>
      <c r="R9" s="34">
        <v>3</v>
      </c>
      <c r="S9" s="34">
        <v>0</v>
      </c>
      <c r="T9" s="34">
        <v>0</v>
      </c>
      <c r="U9" s="34">
        <v>0</v>
      </c>
      <c r="V9" s="34">
        <v>0</v>
      </c>
      <c r="W9" s="37">
        <f t="shared" ref="W9:X9" si="7">G9+I9+K9+M9</f>
        <v>3</v>
      </c>
      <c r="X9" s="37">
        <f t="shared" si="7"/>
        <v>5</v>
      </c>
      <c r="Y9" s="37">
        <f t="shared" si="1"/>
        <v>8</v>
      </c>
      <c r="Z9" s="34">
        <f t="shared" si="2"/>
        <v>8</v>
      </c>
    </row>
    <row r="10" spans="1:26" x14ac:dyDescent="0.25">
      <c r="A10" s="32" t="s">
        <v>23</v>
      </c>
      <c r="B10" s="33">
        <v>26</v>
      </c>
      <c r="C10" s="33">
        <v>4</v>
      </c>
      <c r="D10" s="34">
        <v>6</v>
      </c>
      <c r="E10" s="34">
        <v>13</v>
      </c>
      <c r="F10" s="35" t="s">
        <v>72</v>
      </c>
      <c r="G10" s="36">
        <v>0</v>
      </c>
      <c r="H10" s="36">
        <v>0</v>
      </c>
      <c r="I10" s="36">
        <v>1</v>
      </c>
      <c r="J10" s="36">
        <v>1</v>
      </c>
      <c r="K10" s="36">
        <v>5</v>
      </c>
      <c r="L10" s="36">
        <v>12</v>
      </c>
      <c r="M10" s="36">
        <v>0</v>
      </c>
      <c r="N10" s="36">
        <v>0</v>
      </c>
      <c r="O10" s="34">
        <v>1</v>
      </c>
      <c r="P10" s="34">
        <v>1</v>
      </c>
      <c r="Q10" s="34">
        <v>5</v>
      </c>
      <c r="R10" s="34">
        <v>12</v>
      </c>
      <c r="S10" s="34">
        <v>0</v>
      </c>
      <c r="T10" s="34">
        <v>0</v>
      </c>
      <c r="U10" s="34">
        <v>0</v>
      </c>
      <c r="V10" s="34">
        <v>0</v>
      </c>
      <c r="W10" s="37">
        <f t="shared" ref="W10:X10" si="8">G10+I10+K10+M10</f>
        <v>6</v>
      </c>
      <c r="X10" s="37">
        <f t="shared" si="8"/>
        <v>13</v>
      </c>
      <c r="Y10" s="37">
        <f t="shared" si="1"/>
        <v>19</v>
      </c>
      <c r="Z10" s="36">
        <f t="shared" si="2"/>
        <v>19</v>
      </c>
    </row>
    <row r="11" spans="1:26" x14ac:dyDescent="0.25">
      <c r="A11" s="8"/>
      <c r="B11" s="8"/>
      <c r="C11" s="8"/>
      <c r="D11" s="34">
        <v>2</v>
      </c>
      <c r="E11" s="34">
        <v>1</v>
      </c>
      <c r="F11" s="35" t="s">
        <v>73</v>
      </c>
      <c r="G11" s="34">
        <v>0</v>
      </c>
      <c r="H11" s="34">
        <v>0</v>
      </c>
      <c r="I11" s="34">
        <v>2</v>
      </c>
      <c r="J11" s="34">
        <v>1</v>
      </c>
      <c r="K11" s="34">
        <v>0</v>
      </c>
      <c r="L11" s="34">
        <v>0</v>
      </c>
      <c r="M11" s="34">
        <v>0</v>
      </c>
      <c r="N11" s="34">
        <v>0</v>
      </c>
      <c r="O11" s="34">
        <v>2</v>
      </c>
      <c r="P11" s="34">
        <v>1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7">
        <f t="shared" ref="W11:X11" si="9">G11+I11+K11+M11</f>
        <v>2</v>
      </c>
      <c r="X11" s="37">
        <f t="shared" si="9"/>
        <v>1</v>
      </c>
      <c r="Y11" s="37">
        <f t="shared" si="1"/>
        <v>3</v>
      </c>
      <c r="Z11" s="34">
        <f t="shared" si="2"/>
        <v>3</v>
      </c>
    </row>
    <row r="12" spans="1:26" x14ac:dyDescent="0.25">
      <c r="A12" s="32" t="s">
        <v>26</v>
      </c>
      <c r="B12" s="33">
        <v>25</v>
      </c>
      <c r="C12" s="33">
        <v>2</v>
      </c>
      <c r="D12" s="34">
        <v>6</v>
      </c>
      <c r="E12" s="34">
        <v>5</v>
      </c>
      <c r="F12" s="35" t="s">
        <v>74</v>
      </c>
      <c r="G12" s="36">
        <v>1</v>
      </c>
      <c r="H12" s="36">
        <v>1</v>
      </c>
      <c r="I12" s="36">
        <v>3</v>
      </c>
      <c r="J12" s="36">
        <v>3</v>
      </c>
      <c r="K12" s="36">
        <v>2</v>
      </c>
      <c r="L12" s="36">
        <v>1</v>
      </c>
      <c r="M12" s="36">
        <v>0</v>
      </c>
      <c r="N12" s="36">
        <v>0</v>
      </c>
      <c r="O12" s="34">
        <v>2</v>
      </c>
      <c r="P12" s="34">
        <v>2</v>
      </c>
      <c r="Q12" s="34">
        <v>3</v>
      </c>
      <c r="R12" s="34">
        <v>2</v>
      </c>
      <c r="S12" s="34">
        <v>1</v>
      </c>
      <c r="T12" s="34">
        <v>1</v>
      </c>
      <c r="U12" s="34">
        <v>0</v>
      </c>
      <c r="V12" s="34">
        <v>0</v>
      </c>
      <c r="W12" s="37">
        <f t="shared" ref="W12:X12" si="10">G12+I12+K12+M12</f>
        <v>6</v>
      </c>
      <c r="X12" s="37">
        <f t="shared" si="10"/>
        <v>5</v>
      </c>
      <c r="Y12" s="37">
        <f t="shared" si="1"/>
        <v>11</v>
      </c>
      <c r="Z12" s="36">
        <f t="shared" si="2"/>
        <v>11</v>
      </c>
    </row>
    <row r="13" spans="1:26" x14ac:dyDescent="0.25">
      <c r="A13" s="8"/>
      <c r="B13" s="8"/>
      <c r="C13" s="8"/>
      <c r="D13" s="34">
        <v>6</v>
      </c>
      <c r="E13" s="34">
        <v>6</v>
      </c>
      <c r="F13" s="35" t="s">
        <v>75</v>
      </c>
      <c r="G13" s="34">
        <v>2</v>
      </c>
      <c r="H13" s="34">
        <v>3</v>
      </c>
      <c r="I13" s="34">
        <v>3</v>
      </c>
      <c r="J13" s="34">
        <v>2</v>
      </c>
      <c r="K13" s="34">
        <v>1</v>
      </c>
      <c r="L13" s="34">
        <v>1</v>
      </c>
      <c r="M13" s="34">
        <v>0</v>
      </c>
      <c r="N13" s="34">
        <v>0</v>
      </c>
      <c r="O13" s="34">
        <v>3</v>
      </c>
      <c r="P13" s="34">
        <v>4</v>
      </c>
      <c r="Q13" s="34">
        <v>2</v>
      </c>
      <c r="R13" s="34">
        <v>1</v>
      </c>
      <c r="S13" s="34">
        <v>1</v>
      </c>
      <c r="T13" s="34">
        <v>1</v>
      </c>
      <c r="U13" s="34">
        <v>0</v>
      </c>
      <c r="V13" s="34">
        <v>0</v>
      </c>
      <c r="W13" s="37">
        <f t="shared" ref="W13:X13" si="11">G13+I13+K13+M13</f>
        <v>6</v>
      </c>
      <c r="X13" s="37">
        <f t="shared" si="11"/>
        <v>6</v>
      </c>
      <c r="Y13" s="37">
        <f t="shared" si="1"/>
        <v>12</v>
      </c>
      <c r="Z13" s="34">
        <f t="shared" si="2"/>
        <v>12</v>
      </c>
    </row>
    <row r="14" spans="1:26" x14ac:dyDescent="0.25">
      <c r="A14" s="32" t="s">
        <v>76</v>
      </c>
      <c r="B14" s="33">
        <v>99</v>
      </c>
      <c r="C14" s="33">
        <v>18</v>
      </c>
      <c r="D14" s="34">
        <v>32</v>
      </c>
      <c r="E14" s="34">
        <v>20</v>
      </c>
      <c r="F14" s="35" t="s">
        <v>77</v>
      </c>
      <c r="G14" s="36">
        <v>0</v>
      </c>
      <c r="H14" s="36">
        <v>1</v>
      </c>
      <c r="I14" s="36">
        <v>0</v>
      </c>
      <c r="J14" s="36">
        <v>1</v>
      </c>
      <c r="K14" s="36">
        <v>32</v>
      </c>
      <c r="L14" s="36">
        <v>18</v>
      </c>
      <c r="M14" s="36">
        <v>0</v>
      </c>
      <c r="N14" s="36">
        <v>0</v>
      </c>
      <c r="O14" s="34">
        <v>2</v>
      </c>
      <c r="P14" s="34">
        <v>3</v>
      </c>
      <c r="Q14" s="34">
        <v>10</v>
      </c>
      <c r="R14" s="34">
        <v>15</v>
      </c>
      <c r="S14" s="34">
        <v>20</v>
      </c>
      <c r="T14" s="34">
        <v>2</v>
      </c>
      <c r="U14" s="34">
        <v>0</v>
      </c>
      <c r="V14" s="34">
        <v>0</v>
      </c>
      <c r="W14" s="37">
        <f t="shared" ref="W14:X14" si="12">G14+I14+K14+M14</f>
        <v>32</v>
      </c>
      <c r="X14" s="37">
        <f t="shared" si="12"/>
        <v>20</v>
      </c>
      <c r="Y14" s="37">
        <f t="shared" si="1"/>
        <v>52</v>
      </c>
      <c r="Z14" s="36">
        <f t="shared" si="2"/>
        <v>52</v>
      </c>
    </row>
    <row r="15" spans="1:26" x14ac:dyDescent="0.25">
      <c r="A15" s="8"/>
      <c r="B15" s="8"/>
      <c r="C15" s="8"/>
      <c r="D15" s="34">
        <v>10</v>
      </c>
      <c r="E15" s="34">
        <v>19</v>
      </c>
      <c r="F15" s="35" t="s">
        <v>78</v>
      </c>
      <c r="G15" s="34">
        <v>1</v>
      </c>
      <c r="H15" s="34">
        <v>1</v>
      </c>
      <c r="I15" s="34">
        <v>6</v>
      </c>
      <c r="J15" s="34">
        <v>13</v>
      </c>
      <c r="K15" s="34">
        <v>3</v>
      </c>
      <c r="L15" s="34">
        <v>5</v>
      </c>
      <c r="M15" s="34">
        <v>0</v>
      </c>
      <c r="N15" s="34">
        <v>0</v>
      </c>
      <c r="O15" s="34">
        <v>2</v>
      </c>
      <c r="P15" s="34">
        <v>2</v>
      </c>
      <c r="Q15" s="34">
        <v>5</v>
      </c>
      <c r="R15" s="34">
        <v>15</v>
      </c>
      <c r="S15" s="34">
        <v>3</v>
      </c>
      <c r="T15" s="34">
        <v>2</v>
      </c>
      <c r="U15" s="34">
        <v>0</v>
      </c>
      <c r="V15" s="34">
        <v>0</v>
      </c>
      <c r="W15" s="37">
        <f t="shared" ref="W15:X15" si="13">G15+I15+K15+M15</f>
        <v>10</v>
      </c>
      <c r="X15" s="37">
        <f t="shared" si="13"/>
        <v>19</v>
      </c>
      <c r="Y15" s="37">
        <f t="shared" si="1"/>
        <v>29</v>
      </c>
      <c r="Z15" s="34">
        <f t="shared" si="2"/>
        <v>29</v>
      </c>
    </row>
    <row r="16" spans="1:26" x14ac:dyDescent="0.25">
      <c r="A16" s="32" t="s">
        <v>32</v>
      </c>
      <c r="B16" s="33">
        <v>19</v>
      </c>
      <c r="C16" s="33">
        <v>5</v>
      </c>
      <c r="D16" s="34">
        <v>7</v>
      </c>
      <c r="E16" s="34">
        <v>2</v>
      </c>
      <c r="F16" s="35" t="s">
        <v>79</v>
      </c>
      <c r="G16" s="36">
        <v>4</v>
      </c>
      <c r="H16" s="36">
        <v>1</v>
      </c>
      <c r="I16" s="36">
        <v>2</v>
      </c>
      <c r="J16" s="36">
        <v>1</v>
      </c>
      <c r="K16" s="36">
        <v>1</v>
      </c>
      <c r="L16" s="36">
        <v>0</v>
      </c>
      <c r="M16" s="36">
        <v>0</v>
      </c>
      <c r="N16" s="36">
        <v>0</v>
      </c>
      <c r="O16" s="34">
        <v>4</v>
      </c>
      <c r="P16" s="34">
        <v>2</v>
      </c>
      <c r="Q16" s="34">
        <v>2</v>
      </c>
      <c r="R16" s="34">
        <v>0</v>
      </c>
      <c r="S16" s="34">
        <v>1</v>
      </c>
      <c r="T16" s="34">
        <v>0</v>
      </c>
      <c r="U16" s="34">
        <v>0</v>
      </c>
      <c r="V16" s="34">
        <v>0</v>
      </c>
      <c r="W16" s="37">
        <f t="shared" ref="W16:X16" si="14">G16+I16+K16+M16</f>
        <v>7</v>
      </c>
      <c r="X16" s="37">
        <f t="shared" si="14"/>
        <v>2</v>
      </c>
      <c r="Y16" s="37">
        <f t="shared" si="1"/>
        <v>9</v>
      </c>
      <c r="Z16" s="36">
        <f t="shared" si="2"/>
        <v>9</v>
      </c>
    </row>
    <row r="17" spans="1:26" x14ac:dyDescent="0.25">
      <c r="A17" s="8"/>
      <c r="B17" s="8"/>
      <c r="C17" s="8"/>
      <c r="D17" s="34">
        <v>3</v>
      </c>
      <c r="E17" s="34">
        <v>2</v>
      </c>
      <c r="F17" s="35" t="s">
        <v>80</v>
      </c>
      <c r="G17" s="34">
        <v>1</v>
      </c>
      <c r="H17" s="34">
        <v>0</v>
      </c>
      <c r="I17" s="34">
        <v>0</v>
      </c>
      <c r="J17" s="34">
        <v>2</v>
      </c>
      <c r="K17" s="34">
        <v>2</v>
      </c>
      <c r="L17" s="34">
        <v>0</v>
      </c>
      <c r="M17" s="34">
        <v>0</v>
      </c>
      <c r="N17" s="34">
        <v>0</v>
      </c>
      <c r="O17" s="34">
        <v>1</v>
      </c>
      <c r="P17" s="34">
        <v>1</v>
      </c>
      <c r="Q17" s="34">
        <v>2</v>
      </c>
      <c r="R17" s="34">
        <v>1</v>
      </c>
      <c r="S17" s="34">
        <v>0</v>
      </c>
      <c r="T17" s="34">
        <v>0</v>
      </c>
      <c r="U17" s="34">
        <v>0</v>
      </c>
      <c r="V17" s="34">
        <v>0</v>
      </c>
      <c r="W17" s="37">
        <f t="shared" ref="W17:X17" si="15">G17+I17+K17+M17</f>
        <v>3</v>
      </c>
      <c r="X17" s="37">
        <f t="shared" si="15"/>
        <v>2</v>
      </c>
      <c r="Y17" s="37">
        <f t="shared" si="1"/>
        <v>5</v>
      </c>
      <c r="Z17" s="34">
        <f t="shared" si="2"/>
        <v>5</v>
      </c>
    </row>
    <row r="18" spans="1:26" x14ac:dyDescent="0.25">
      <c r="A18" s="32" t="s">
        <v>35</v>
      </c>
      <c r="B18" s="33">
        <v>36</v>
      </c>
      <c r="C18" s="33">
        <v>7</v>
      </c>
      <c r="D18" s="34">
        <v>12</v>
      </c>
      <c r="E18" s="34">
        <v>12</v>
      </c>
      <c r="F18" s="35" t="s">
        <v>81</v>
      </c>
      <c r="G18" s="36">
        <v>3</v>
      </c>
      <c r="H18" s="36">
        <v>3</v>
      </c>
      <c r="I18" s="36">
        <v>3</v>
      </c>
      <c r="J18" s="36">
        <v>4</v>
      </c>
      <c r="K18" s="36">
        <v>6</v>
      </c>
      <c r="L18" s="36">
        <v>5</v>
      </c>
      <c r="M18" s="36">
        <v>0</v>
      </c>
      <c r="N18" s="36">
        <v>0</v>
      </c>
      <c r="O18" s="34">
        <v>4</v>
      </c>
      <c r="P18" s="34">
        <v>5</v>
      </c>
      <c r="Q18" s="34">
        <v>7</v>
      </c>
      <c r="R18" s="34">
        <v>6</v>
      </c>
      <c r="S18" s="34">
        <v>1</v>
      </c>
      <c r="T18" s="34">
        <v>1</v>
      </c>
      <c r="U18" s="34">
        <v>0</v>
      </c>
      <c r="V18" s="34">
        <v>0</v>
      </c>
      <c r="W18" s="37">
        <f t="shared" ref="W18:X18" si="16">G18+I18+K18+M18</f>
        <v>12</v>
      </c>
      <c r="X18" s="37">
        <f t="shared" si="16"/>
        <v>12</v>
      </c>
      <c r="Y18" s="37">
        <f t="shared" si="1"/>
        <v>24</v>
      </c>
      <c r="Z18" s="36">
        <f t="shared" si="2"/>
        <v>24</v>
      </c>
    </row>
    <row r="19" spans="1:26" x14ac:dyDescent="0.25">
      <c r="A19" s="8"/>
      <c r="B19" s="8"/>
      <c r="C19" s="8"/>
      <c r="D19" s="34">
        <v>3</v>
      </c>
      <c r="E19" s="34">
        <v>2</v>
      </c>
      <c r="F19" s="35" t="s">
        <v>82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0</v>
      </c>
      <c r="M19" s="34">
        <v>0</v>
      </c>
      <c r="N19" s="34">
        <v>0</v>
      </c>
      <c r="O19" s="34">
        <v>1</v>
      </c>
      <c r="P19" s="34">
        <v>1</v>
      </c>
      <c r="Q19" s="34">
        <v>2</v>
      </c>
      <c r="R19" s="34">
        <v>1</v>
      </c>
      <c r="S19" s="34">
        <v>0</v>
      </c>
      <c r="T19" s="34">
        <v>0</v>
      </c>
      <c r="U19" s="34">
        <v>0</v>
      </c>
      <c r="V19" s="34">
        <v>0</v>
      </c>
      <c r="W19" s="37">
        <f t="shared" ref="W19:X19" si="17">G19+I19+K19+M19</f>
        <v>3</v>
      </c>
      <c r="X19" s="37">
        <f t="shared" si="17"/>
        <v>2</v>
      </c>
      <c r="Y19" s="37">
        <f t="shared" si="1"/>
        <v>5</v>
      </c>
      <c r="Z19" s="34">
        <f t="shared" si="2"/>
        <v>5</v>
      </c>
    </row>
    <row r="20" spans="1:26" x14ac:dyDescent="0.25">
      <c r="A20" s="32" t="s">
        <v>38</v>
      </c>
      <c r="B20" s="33">
        <v>16</v>
      </c>
      <c r="C20" s="33">
        <v>4</v>
      </c>
      <c r="D20" s="34">
        <v>3</v>
      </c>
      <c r="E20" s="34">
        <v>2</v>
      </c>
      <c r="F20" s="35" t="s">
        <v>83</v>
      </c>
      <c r="G20" s="36">
        <v>0</v>
      </c>
      <c r="H20" s="36">
        <v>0</v>
      </c>
      <c r="I20" s="36">
        <v>2</v>
      </c>
      <c r="J20" s="36">
        <v>1</v>
      </c>
      <c r="K20" s="36">
        <v>1</v>
      </c>
      <c r="L20" s="36">
        <v>1</v>
      </c>
      <c r="M20" s="36">
        <v>0</v>
      </c>
      <c r="N20" s="36">
        <v>0</v>
      </c>
      <c r="O20" s="34">
        <v>1</v>
      </c>
      <c r="P20" s="34">
        <v>2</v>
      </c>
      <c r="Q20" s="34">
        <v>2</v>
      </c>
      <c r="R20" s="34">
        <v>0</v>
      </c>
      <c r="S20" s="34">
        <v>0</v>
      </c>
      <c r="T20" s="34">
        <v>1</v>
      </c>
      <c r="U20" s="34">
        <v>0</v>
      </c>
      <c r="V20" s="34">
        <v>0</v>
      </c>
      <c r="W20" s="37">
        <f t="shared" ref="W20:X20" si="18">G20+I20+K20+M20</f>
        <v>3</v>
      </c>
      <c r="X20" s="37">
        <f t="shared" si="18"/>
        <v>2</v>
      </c>
      <c r="Y20" s="37">
        <f t="shared" si="1"/>
        <v>5</v>
      </c>
      <c r="Z20" s="36">
        <f t="shared" si="2"/>
        <v>5</v>
      </c>
    </row>
    <row r="21" spans="1:26" x14ac:dyDescent="0.25">
      <c r="A21" s="8"/>
      <c r="B21" s="8"/>
      <c r="C21" s="8"/>
      <c r="D21" s="34">
        <v>4</v>
      </c>
      <c r="E21" s="34">
        <v>3</v>
      </c>
      <c r="F21" s="35" t="s">
        <v>84</v>
      </c>
      <c r="G21" s="34">
        <v>0</v>
      </c>
      <c r="H21" s="34">
        <v>0</v>
      </c>
      <c r="I21" s="34">
        <v>1</v>
      </c>
      <c r="J21" s="34">
        <v>1</v>
      </c>
      <c r="K21" s="34">
        <v>3</v>
      </c>
      <c r="L21" s="34">
        <v>2</v>
      </c>
      <c r="M21" s="34">
        <v>0</v>
      </c>
      <c r="N21" s="34">
        <v>0</v>
      </c>
      <c r="O21" s="34">
        <v>0</v>
      </c>
      <c r="P21" s="34">
        <v>0</v>
      </c>
      <c r="Q21" s="34">
        <v>2</v>
      </c>
      <c r="R21" s="34">
        <v>1</v>
      </c>
      <c r="S21" s="34">
        <v>2</v>
      </c>
      <c r="T21" s="34">
        <v>2</v>
      </c>
      <c r="U21" s="34">
        <v>0</v>
      </c>
      <c r="V21" s="34">
        <v>0</v>
      </c>
      <c r="W21" s="37">
        <f t="shared" ref="W21:X21" si="19">G21+I21+K21+M21</f>
        <v>4</v>
      </c>
      <c r="X21" s="37">
        <f t="shared" si="19"/>
        <v>3</v>
      </c>
      <c r="Y21" s="37">
        <f t="shared" si="1"/>
        <v>7</v>
      </c>
      <c r="Z21" s="34">
        <f t="shared" si="2"/>
        <v>7</v>
      </c>
    </row>
    <row r="22" spans="1:26" x14ac:dyDescent="0.25">
      <c r="A22" s="32" t="s">
        <v>41</v>
      </c>
      <c r="B22" s="33">
        <v>11</v>
      </c>
      <c r="C22" s="33">
        <v>6</v>
      </c>
      <c r="D22" s="34">
        <v>0</v>
      </c>
      <c r="E22" s="34">
        <v>1</v>
      </c>
      <c r="F22" s="35" t="s">
        <v>85</v>
      </c>
      <c r="G22" s="36">
        <v>0</v>
      </c>
      <c r="H22" s="36">
        <v>0</v>
      </c>
      <c r="I22" s="36">
        <v>0</v>
      </c>
      <c r="J22" s="36">
        <v>1</v>
      </c>
      <c r="K22" s="36">
        <v>0</v>
      </c>
      <c r="L22" s="36">
        <v>0</v>
      </c>
      <c r="M22" s="36">
        <v>0</v>
      </c>
      <c r="N22" s="36">
        <v>0</v>
      </c>
      <c r="O22" s="34">
        <v>0</v>
      </c>
      <c r="P22" s="34">
        <v>0</v>
      </c>
      <c r="Q22" s="34">
        <v>0</v>
      </c>
      <c r="R22" s="34">
        <v>1</v>
      </c>
      <c r="S22" s="34">
        <v>0</v>
      </c>
      <c r="T22" s="34">
        <v>0</v>
      </c>
      <c r="U22" s="34">
        <v>0</v>
      </c>
      <c r="V22" s="34">
        <v>0</v>
      </c>
      <c r="W22" s="37">
        <f t="shared" ref="W22:X22" si="20">G22+I22+K22+M22</f>
        <v>0</v>
      </c>
      <c r="X22" s="37">
        <f t="shared" si="20"/>
        <v>1</v>
      </c>
      <c r="Y22" s="37">
        <f t="shared" si="1"/>
        <v>1</v>
      </c>
      <c r="Z22" s="36">
        <f t="shared" si="2"/>
        <v>1</v>
      </c>
    </row>
    <row r="23" spans="1:26" x14ac:dyDescent="0.25">
      <c r="A23" s="8"/>
      <c r="B23" s="8"/>
      <c r="C23" s="8"/>
      <c r="D23" s="34">
        <v>2</v>
      </c>
      <c r="E23" s="34">
        <v>2</v>
      </c>
      <c r="F23" s="35" t="s">
        <v>86</v>
      </c>
      <c r="G23" s="34">
        <v>0</v>
      </c>
      <c r="H23" s="34">
        <v>0</v>
      </c>
      <c r="I23" s="34">
        <v>1</v>
      </c>
      <c r="J23" s="34">
        <v>1</v>
      </c>
      <c r="K23" s="34">
        <v>1</v>
      </c>
      <c r="L23" s="34">
        <v>1</v>
      </c>
      <c r="M23" s="34">
        <v>0</v>
      </c>
      <c r="N23" s="34">
        <v>0</v>
      </c>
      <c r="O23" s="34">
        <v>0</v>
      </c>
      <c r="P23" s="34">
        <v>2</v>
      </c>
      <c r="Q23" s="34">
        <v>2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7">
        <f t="shared" ref="W23:X23" si="21">G23+I23+K23+M23</f>
        <v>2</v>
      </c>
      <c r="X23" s="37">
        <f t="shared" si="21"/>
        <v>2</v>
      </c>
      <c r="Y23" s="37">
        <f t="shared" si="1"/>
        <v>4</v>
      </c>
      <c r="Z23" s="34">
        <f t="shared" si="2"/>
        <v>4</v>
      </c>
    </row>
    <row r="24" spans="1:26" x14ac:dyDescent="0.25">
      <c r="A24" s="32" t="s">
        <v>44</v>
      </c>
      <c r="B24" s="33">
        <v>17</v>
      </c>
      <c r="C24" s="33">
        <v>15</v>
      </c>
      <c r="D24" s="34">
        <v>0</v>
      </c>
      <c r="E24" s="34">
        <v>0</v>
      </c>
      <c r="F24" s="35" t="s">
        <v>67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7">
        <f t="shared" ref="W24:X24" si="22">G24+I24+K24+M24</f>
        <v>0</v>
      </c>
      <c r="X24" s="37">
        <f t="shared" si="22"/>
        <v>0</v>
      </c>
      <c r="Y24" s="37">
        <f t="shared" si="1"/>
        <v>0</v>
      </c>
      <c r="Z24" s="36">
        <f t="shared" si="2"/>
        <v>0</v>
      </c>
    </row>
    <row r="25" spans="1:26" x14ac:dyDescent="0.25">
      <c r="A25" s="8"/>
      <c r="B25" s="8"/>
      <c r="C25" s="8"/>
      <c r="D25" s="34">
        <v>2</v>
      </c>
      <c r="E25" s="34">
        <v>0</v>
      </c>
      <c r="F25" s="35" t="s">
        <v>87</v>
      </c>
      <c r="G25" s="34">
        <v>5</v>
      </c>
      <c r="H25" s="34">
        <v>10</v>
      </c>
      <c r="I25" s="34">
        <v>2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7</v>
      </c>
      <c r="P25" s="34">
        <v>10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8">
        <v>7</v>
      </c>
      <c r="X25" s="38">
        <v>10</v>
      </c>
      <c r="Y25" s="38">
        <v>0</v>
      </c>
      <c r="Z25" s="34">
        <f t="shared" si="2"/>
        <v>17</v>
      </c>
    </row>
    <row r="26" spans="1:26" x14ac:dyDescent="0.25">
      <c r="A26" s="32" t="s">
        <v>47</v>
      </c>
      <c r="B26" s="33">
        <v>6</v>
      </c>
      <c r="C26" s="33">
        <v>0</v>
      </c>
      <c r="D26" s="34">
        <v>1</v>
      </c>
      <c r="E26" s="34">
        <v>1</v>
      </c>
      <c r="F26" s="35" t="s">
        <v>48</v>
      </c>
      <c r="G26" s="36">
        <v>0</v>
      </c>
      <c r="H26" s="36">
        <v>0</v>
      </c>
      <c r="I26" s="36">
        <v>0</v>
      </c>
      <c r="J26" s="36">
        <v>0</v>
      </c>
      <c r="K26" s="36">
        <v>1</v>
      </c>
      <c r="L26" s="36">
        <v>1</v>
      </c>
      <c r="M26" s="36">
        <v>0</v>
      </c>
      <c r="N26" s="36">
        <v>0</v>
      </c>
      <c r="O26" s="39">
        <v>0</v>
      </c>
      <c r="P26" s="39">
        <v>0</v>
      </c>
      <c r="Q26" s="39">
        <v>0</v>
      </c>
      <c r="R26" s="39">
        <v>1</v>
      </c>
      <c r="S26" s="39">
        <v>1</v>
      </c>
      <c r="T26" s="39">
        <v>0</v>
      </c>
      <c r="U26" s="39">
        <v>0</v>
      </c>
      <c r="V26" s="39">
        <v>0</v>
      </c>
      <c r="W26" s="38">
        <v>1</v>
      </c>
      <c r="X26" s="37">
        <f>H26+J26+L26+N26</f>
        <v>1</v>
      </c>
      <c r="Y26" s="37">
        <f t="shared" ref="Y26:Y34" si="23">W26+X26</f>
        <v>2</v>
      </c>
      <c r="Z26" s="36">
        <f t="shared" si="2"/>
        <v>2</v>
      </c>
    </row>
    <row r="27" spans="1:26" x14ac:dyDescent="0.25">
      <c r="A27" s="8"/>
      <c r="B27" s="8"/>
      <c r="C27" s="8"/>
      <c r="D27" s="34">
        <v>3</v>
      </c>
      <c r="E27" s="34">
        <v>1</v>
      </c>
      <c r="F27" s="35" t="s">
        <v>86</v>
      </c>
      <c r="G27" s="34">
        <v>1</v>
      </c>
      <c r="H27" s="34">
        <v>0</v>
      </c>
      <c r="I27" s="34">
        <v>2</v>
      </c>
      <c r="J27" s="34">
        <v>1</v>
      </c>
      <c r="K27" s="34">
        <v>0</v>
      </c>
      <c r="L27" s="34">
        <v>0</v>
      </c>
      <c r="M27" s="34">
        <v>0</v>
      </c>
      <c r="N27" s="34">
        <v>0</v>
      </c>
      <c r="O27" s="34">
        <v>1</v>
      </c>
      <c r="P27" s="34">
        <v>0</v>
      </c>
      <c r="Q27" s="34">
        <v>2</v>
      </c>
      <c r="R27" s="34">
        <v>1</v>
      </c>
      <c r="S27" s="34">
        <v>0</v>
      </c>
      <c r="T27" s="34">
        <v>0</v>
      </c>
      <c r="U27" s="34">
        <v>0</v>
      </c>
      <c r="V27" s="34">
        <v>0</v>
      </c>
      <c r="W27" s="37">
        <f t="shared" ref="W27:X27" si="24">G27+I27+K27+M27</f>
        <v>3</v>
      </c>
      <c r="X27" s="37">
        <f t="shared" si="24"/>
        <v>1</v>
      </c>
      <c r="Y27" s="37">
        <f t="shared" si="23"/>
        <v>4</v>
      </c>
      <c r="Z27" s="34">
        <f t="shared" si="2"/>
        <v>4</v>
      </c>
    </row>
    <row r="28" spans="1:26" x14ac:dyDescent="0.25">
      <c r="A28" s="32" t="s">
        <v>49</v>
      </c>
      <c r="B28" s="33">
        <v>32</v>
      </c>
      <c r="C28" s="33">
        <v>7</v>
      </c>
      <c r="D28" s="34">
        <v>7</v>
      </c>
      <c r="E28" s="34">
        <v>4</v>
      </c>
      <c r="F28" s="35" t="s">
        <v>74</v>
      </c>
      <c r="G28" s="36">
        <v>1</v>
      </c>
      <c r="H28" s="36">
        <v>1</v>
      </c>
      <c r="I28" s="36">
        <v>2</v>
      </c>
      <c r="J28" s="36">
        <v>1</v>
      </c>
      <c r="K28" s="36">
        <v>4</v>
      </c>
      <c r="L28" s="36">
        <v>2</v>
      </c>
      <c r="M28" s="36">
        <v>0</v>
      </c>
      <c r="N28" s="36">
        <v>0</v>
      </c>
      <c r="O28" s="34">
        <v>2</v>
      </c>
      <c r="P28" s="34">
        <v>2</v>
      </c>
      <c r="Q28" s="34">
        <v>4</v>
      </c>
      <c r="R28" s="34">
        <v>2</v>
      </c>
      <c r="S28" s="34">
        <v>1</v>
      </c>
      <c r="T28" s="34">
        <v>0</v>
      </c>
      <c r="U28" s="34">
        <v>0</v>
      </c>
      <c r="V28" s="34">
        <v>0</v>
      </c>
      <c r="W28" s="37">
        <f t="shared" ref="W28:X28" si="25">G28+I28+K28+M28</f>
        <v>7</v>
      </c>
      <c r="X28" s="37">
        <f t="shared" si="25"/>
        <v>4</v>
      </c>
      <c r="Y28" s="37">
        <f t="shared" si="23"/>
        <v>11</v>
      </c>
      <c r="Z28" s="36">
        <f t="shared" si="2"/>
        <v>11</v>
      </c>
    </row>
    <row r="29" spans="1:26" x14ac:dyDescent="0.25">
      <c r="A29" s="8"/>
      <c r="B29" s="8"/>
      <c r="C29" s="8"/>
      <c r="D29" s="34">
        <v>6</v>
      </c>
      <c r="E29" s="34">
        <v>8</v>
      </c>
      <c r="F29" s="35" t="s">
        <v>88</v>
      </c>
      <c r="G29" s="34">
        <v>1</v>
      </c>
      <c r="H29" s="34">
        <v>2</v>
      </c>
      <c r="I29" s="34">
        <v>2</v>
      </c>
      <c r="J29" s="34">
        <v>2</v>
      </c>
      <c r="K29" s="34">
        <v>2</v>
      </c>
      <c r="L29" s="34">
        <v>4</v>
      </c>
      <c r="M29" s="34">
        <v>1</v>
      </c>
      <c r="N29" s="34">
        <v>0</v>
      </c>
      <c r="O29" s="34">
        <v>2</v>
      </c>
      <c r="P29" s="34">
        <v>4</v>
      </c>
      <c r="Q29" s="34">
        <v>3</v>
      </c>
      <c r="R29" s="34">
        <v>3</v>
      </c>
      <c r="S29" s="34">
        <v>1</v>
      </c>
      <c r="T29" s="34">
        <v>1</v>
      </c>
      <c r="U29" s="34">
        <v>0</v>
      </c>
      <c r="V29" s="34">
        <v>0</v>
      </c>
      <c r="W29" s="37">
        <f t="shared" ref="W29:X29" si="26">G29+I29+K29+M29</f>
        <v>6</v>
      </c>
      <c r="X29" s="37">
        <f t="shared" si="26"/>
        <v>8</v>
      </c>
      <c r="Y29" s="37">
        <f t="shared" si="23"/>
        <v>14</v>
      </c>
      <c r="Z29" s="34">
        <f t="shared" si="2"/>
        <v>14</v>
      </c>
    </row>
    <row r="30" spans="1:26" x14ac:dyDescent="0.25">
      <c r="A30" s="32" t="s">
        <v>52</v>
      </c>
      <c r="B30" s="33">
        <v>22</v>
      </c>
      <c r="C30" s="33">
        <v>3</v>
      </c>
      <c r="D30" s="34">
        <v>3</v>
      </c>
      <c r="E30" s="34">
        <v>3</v>
      </c>
      <c r="F30" s="35" t="s">
        <v>89</v>
      </c>
      <c r="G30" s="36">
        <v>0</v>
      </c>
      <c r="H30" s="36">
        <v>2</v>
      </c>
      <c r="I30" s="36">
        <v>2</v>
      </c>
      <c r="J30" s="36">
        <v>0</v>
      </c>
      <c r="K30" s="36">
        <v>1</v>
      </c>
      <c r="L30" s="36">
        <v>1</v>
      </c>
      <c r="M30" s="36">
        <v>0</v>
      </c>
      <c r="N30" s="36">
        <v>0</v>
      </c>
      <c r="O30" s="34">
        <v>2</v>
      </c>
      <c r="P30" s="34">
        <v>2</v>
      </c>
      <c r="Q30" s="34">
        <v>1</v>
      </c>
      <c r="R30" s="34">
        <v>1</v>
      </c>
      <c r="S30" s="34">
        <v>0</v>
      </c>
      <c r="T30" s="34">
        <v>0</v>
      </c>
      <c r="U30" s="34">
        <v>0</v>
      </c>
      <c r="V30" s="34">
        <v>0</v>
      </c>
      <c r="W30" s="37">
        <f t="shared" ref="W30:X30" si="27">G30+I30+K30+M30</f>
        <v>3</v>
      </c>
      <c r="X30" s="37">
        <f t="shared" si="27"/>
        <v>3</v>
      </c>
      <c r="Y30" s="37">
        <f t="shared" si="23"/>
        <v>6</v>
      </c>
      <c r="Z30" s="36">
        <f t="shared" si="2"/>
        <v>6</v>
      </c>
    </row>
    <row r="31" spans="1:26" x14ac:dyDescent="0.25">
      <c r="A31" s="8"/>
      <c r="B31" s="8"/>
      <c r="C31" s="8"/>
      <c r="D31" s="34">
        <v>10</v>
      </c>
      <c r="E31" s="34">
        <v>3</v>
      </c>
      <c r="F31" s="35" t="s">
        <v>90</v>
      </c>
      <c r="G31" s="34">
        <v>4</v>
      </c>
      <c r="H31" s="34">
        <v>0</v>
      </c>
      <c r="I31" s="34">
        <v>4</v>
      </c>
      <c r="J31" s="34">
        <v>2</v>
      </c>
      <c r="K31" s="34">
        <v>2</v>
      </c>
      <c r="L31" s="34">
        <v>1</v>
      </c>
      <c r="M31" s="34">
        <v>0</v>
      </c>
      <c r="N31" s="34">
        <v>0</v>
      </c>
      <c r="O31" s="34">
        <v>5</v>
      </c>
      <c r="P31" s="34">
        <v>5</v>
      </c>
      <c r="Q31" s="34">
        <v>1</v>
      </c>
      <c r="R31" s="34">
        <v>2</v>
      </c>
      <c r="S31" s="34">
        <v>0</v>
      </c>
      <c r="T31" s="34">
        <v>0</v>
      </c>
      <c r="U31" s="34">
        <v>0</v>
      </c>
      <c r="V31" s="34">
        <v>0</v>
      </c>
      <c r="W31" s="37">
        <f t="shared" ref="W31:X31" si="28">G31+I31+K31+M31</f>
        <v>10</v>
      </c>
      <c r="X31" s="37">
        <f t="shared" si="28"/>
        <v>3</v>
      </c>
      <c r="Y31" s="37">
        <f t="shared" si="23"/>
        <v>13</v>
      </c>
      <c r="Z31" s="34">
        <f t="shared" si="2"/>
        <v>13</v>
      </c>
    </row>
    <row r="32" spans="1:26" x14ac:dyDescent="0.25">
      <c r="A32" s="32" t="s">
        <v>55</v>
      </c>
      <c r="B32" s="33">
        <v>54</v>
      </c>
      <c r="C32" s="33">
        <v>14</v>
      </c>
      <c r="D32" s="34">
        <v>9</v>
      </c>
      <c r="E32" s="34">
        <v>13</v>
      </c>
      <c r="F32" s="35" t="s">
        <v>91</v>
      </c>
      <c r="G32" s="36">
        <v>2</v>
      </c>
      <c r="H32" s="36">
        <v>5</v>
      </c>
      <c r="I32" s="36">
        <v>2</v>
      </c>
      <c r="J32" s="36">
        <v>3</v>
      </c>
      <c r="K32" s="36">
        <v>4</v>
      </c>
      <c r="L32" s="36">
        <v>5</v>
      </c>
      <c r="M32" s="36">
        <v>1</v>
      </c>
      <c r="N32" s="36">
        <v>0</v>
      </c>
      <c r="O32" s="34">
        <v>5</v>
      </c>
      <c r="P32" s="34">
        <v>7</v>
      </c>
      <c r="Q32" s="34">
        <v>2</v>
      </c>
      <c r="R32" s="34">
        <v>6</v>
      </c>
      <c r="S32" s="34">
        <v>2</v>
      </c>
      <c r="T32" s="34">
        <v>0</v>
      </c>
      <c r="U32" s="34">
        <v>0</v>
      </c>
      <c r="V32" s="34">
        <v>0</v>
      </c>
      <c r="W32" s="37">
        <f t="shared" ref="W32:X32" si="29">G32+I32+K32+M32</f>
        <v>9</v>
      </c>
      <c r="X32" s="37">
        <f t="shared" si="29"/>
        <v>13</v>
      </c>
      <c r="Y32" s="37">
        <f t="shared" si="23"/>
        <v>22</v>
      </c>
      <c r="Z32" s="36">
        <f t="shared" si="2"/>
        <v>22</v>
      </c>
    </row>
    <row r="33" spans="1:26" x14ac:dyDescent="0.25">
      <c r="A33" s="8"/>
      <c r="B33" s="8"/>
      <c r="C33" s="8"/>
      <c r="D33" s="34">
        <v>6</v>
      </c>
      <c r="E33" s="34">
        <v>12</v>
      </c>
      <c r="F33" s="35" t="s">
        <v>92</v>
      </c>
      <c r="G33" s="34">
        <v>2</v>
      </c>
      <c r="H33" s="34">
        <v>3</v>
      </c>
      <c r="I33" s="34">
        <v>0</v>
      </c>
      <c r="J33" s="34">
        <v>3</v>
      </c>
      <c r="K33" s="34">
        <v>4</v>
      </c>
      <c r="L33" s="34">
        <v>6</v>
      </c>
      <c r="M33" s="34">
        <v>0</v>
      </c>
      <c r="N33" s="34">
        <v>0</v>
      </c>
      <c r="O33" s="34">
        <v>3</v>
      </c>
      <c r="P33" s="34">
        <v>4</v>
      </c>
      <c r="Q33" s="34">
        <v>2</v>
      </c>
      <c r="R33" s="34">
        <v>6</v>
      </c>
      <c r="S33" s="34">
        <v>1</v>
      </c>
      <c r="T33" s="34">
        <v>2</v>
      </c>
      <c r="U33" s="34">
        <v>0</v>
      </c>
      <c r="V33" s="34">
        <v>0</v>
      </c>
      <c r="W33" s="37">
        <f t="shared" ref="W33:X33" si="30">G33+I33+K33+M33</f>
        <v>6</v>
      </c>
      <c r="X33" s="37">
        <f t="shared" si="30"/>
        <v>12</v>
      </c>
      <c r="Y33" s="37">
        <f t="shared" si="23"/>
        <v>18</v>
      </c>
      <c r="Z33" s="34">
        <f t="shared" si="2"/>
        <v>18</v>
      </c>
    </row>
    <row r="34" spans="1:26" x14ac:dyDescent="0.25">
      <c r="A34" s="32" t="s">
        <v>58</v>
      </c>
      <c r="B34" s="33">
        <v>17</v>
      </c>
      <c r="C34" s="33">
        <v>2</v>
      </c>
      <c r="D34" s="34">
        <v>5</v>
      </c>
      <c r="E34" s="34">
        <v>5</v>
      </c>
      <c r="F34" s="35" t="s">
        <v>93</v>
      </c>
      <c r="G34" s="36">
        <v>2</v>
      </c>
      <c r="H34" s="36">
        <v>2</v>
      </c>
      <c r="I34" s="36">
        <v>2</v>
      </c>
      <c r="J34" s="36">
        <v>1</v>
      </c>
      <c r="K34" s="36">
        <v>1</v>
      </c>
      <c r="L34" s="36">
        <v>1</v>
      </c>
      <c r="M34" s="36">
        <v>1</v>
      </c>
      <c r="N34" s="36">
        <v>0</v>
      </c>
      <c r="O34" s="34">
        <v>2</v>
      </c>
      <c r="P34" s="34">
        <v>2</v>
      </c>
      <c r="Q34" s="34">
        <v>2</v>
      </c>
      <c r="R34" s="34">
        <v>3</v>
      </c>
      <c r="S34" s="34">
        <v>1</v>
      </c>
      <c r="T34" s="34">
        <v>0</v>
      </c>
      <c r="U34" s="34">
        <v>0</v>
      </c>
      <c r="V34" s="34">
        <v>0</v>
      </c>
      <c r="W34" s="37">
        <f t="shared" ref="W34:X34" si="31">G34+I34+K34+M34</f>
        <v>6</v>
      </c>
      <c r="X34" s="37">
        <f t="shared" si="31"/>
        <v>4</v>
      </c>
      <c r="Y34" s="37">
        <f t="shared" si="23"/>
        <v>10</v>
      </c>
      <c r="Z34" s="36">
        <f t="shared" si="2"/>
        <v>10</v>
      </c>
    </row>
    <row r="35" spans="1:26" x14ac:dyDescent="0.25">
      <c r="A35" s="8"/>
      <c r="B35" s="8"/>
      <c r="C35" s="8"/>
      <c r="D35" s="34">
        <v>0</v>
      </c>
      <c r="E35" s="34">
        <v>5</v>
      </c>
      <c r="F35" s="35" t="s">
        <v>80</v>
      </c>
      <c r="G35" s="34">
        <v>0</v>
      </c>
      <c r="H35" s="34">
        <v>1</v>
      </c>
      <c r="I35" s="34">
        <v>0</v>
      </c>
      <c r="J35" s="34">
        <v>2</v>
      </c>
      <c r="K35" s="34">
        <v>0</v>
      </c>
      <c r="L35" s="34">
        <v>1</v>
      </c>
      <c r="M35" s="34">
        <v>0</v>
      </c>
      <c r="N35" s="34">
        <v>0</v>
      </c>
      <c r="O35" s="34">
        <v>0</v>
      </c>
      <c r="P35" s="34">
        <v>2</v>
      </c>
      <c r="Q35" s="34">
        <v>0</v>
      </c>
      <c r="R35" s="34">
        <v>3</v>
      </c>
      <c r="S35" s="34">
        <v>0</v>
      </c>
      <c r="T35" s="34">
        <v>0</v>
      </c>
      <c r="U35" s="34">
        <v>0</v>
      </c>
      <c r="V35" s="34">
        <v>0</v>
      </c>
      <c r="W35" s="37">
        <f t="shared" ref="W35:X35" si="32">G35+I35+K35+M35</f>
        <v>0</v>
      </c>
      <c r="X35" s="37">
        <f t="shared" si="32"/>
        <v>4</v>
      </c>
      <c r="Y35" s="38">
        <v>5</v>
      </c>
      <c r="Z35" s="34">
        <v>5</v>
      </c>
    </row>
    <row r="36" spans="1:26" x14ac:dyDescent="0.25">
      <c r="A36" s="32" t="s">
        <v>61</v>
      </c>
      <c r="B36" s="33">
        <v>92</v>
      </c>
      <c r="C36" s="33">
        <v>68</v>
      </c>
      <c r="D36" s="34">
        <v>0</v>
      </c>
      <c r="E36" s="34">
        <v>0</v>
      </c>
      <c r="F36" s="35" t="s">
        <v>67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7">
        <f t="shared" ref="W36:X36" si="33">G36+I36+K36+M36</f>
        <v>0</v>
      </c>
      <c r="X36" s="37">
        <f t="shared" si="33"/>
        <v>0</v>
      </c>
      <c r="Y36" s="37">
        <f t="shared" ref="Y36:Y37" si="34">W36+X36</f>
        <v>0</v>
      </c>
      <c r="Z36" s="36">
        <f t="shared" ref="Z36:Z37" si="35">W36+X36</f>
        <v>0</v>
      </c>
    </row>
    <row r="37" spans="1:26" x14ac:dyDescent="0.25">
      <c r="A37" s="8"/>
      <c r="B37" s="8"/>
      <c r="C37" s="8"/>
      <c r="D37" s="34">
        <v>15</v>
      </c>
      <c r="E37" s="34">
        <v>5</v>
      </c>
      <c r="F37" s="35" t="s">
        <v>94</v>
      </c>
      <c r="G37" s="34">
        <v>0</v>
      </c>
      <c r="H37" s="34">
        <v>0</v>
      </c>
      <c r="I37" s="34">
        <v>3</v>
      </c>
      <c r="J37" s="34">
        <v>3</v>
      </c>
      <c r="K37" s="34">
        <v>14</v>
      </c>
      <c r="L37" s="34">
        <v>4</v>
      </c>
      <c r="M37" s="34">
        <v>0</v>
      </c>
      <c r="N37" s="34">
        <v>0</v>
      </c>
      <c r="O37" s="34">
        <v>12</v>
      </c>
      <c r="P37" s="34">
        <v>2</v>
      </c>
      <c r="Q37" s="34">
        <v>3</v>
      </c>
      <c r="R37" s="34">
        <v>3</v>
      </c>
      <c r="S37" s="34">
        <v>0</v>
      </c>
      <c r="T37" s="34">
        <v>0</v>
      </c>
      <c r="U37" s="34">
        <v>0</v>
      </c>
      <c r="V37" s="34">
        <v>0</v>
      </c>
      <c r="W37" s="37">
        <f t="shared" ref="W37:X37" si="36">G37+I37+K37+M37</f>
        <v>17</v>
      </c>
      <c r="X37" s="37">
        <f t="shared" si="36"/>
        <v>7</v>
      </c>
      <c r="Y37" s="37">
        <f t="shared" si="34"/>
        <v>24</v>
      </c>
      <c r="Z37" s="34">
        <f t="shared" si="35"/>
        <v>24</v>
      </c>
    </row>
    <row r="38" spans="1:24" x14ac:dyDescent="0.25">
      <c r="A38" s="32" t="s">
        <v>64</v>
      </c>
      <c r="B38" s="33">
        <v>718</v>
      </c>
      <c r="C38" s="40">
        <f>SUM(C4:C37)</f>
        <v>265</v>
      </c>
      <c r="D38" s="34">
        <v>112</v>
      </c>
      <c r="E38" s="34">
        <v>98</v>
      </c>
      <c r="F38" s="35" t="s">
        <v>95</v>
      </c>
      <c r="G38" s="41">
        <v>14</v>
      </c>
      <c r="H38" s="42">
        <v>17</v>
      </c>
      <c r="I38" s="42">
        <v>22</v>
      </c>
      <c r="J38" s="42">
        <v>24</v>
      </c>
      <c r="K38" s="42">
        <v>74</v>
      </c>
      <c r="L38" s="42">
        <v>57</v>
      </c>
      <c r="M38" s="42">
        <v>2</v>
      </c>
      <c r="N38" s="42">
        <v>0</v>
      </c>
      <c r="O38" s="43">
        <v>31</v>
      </c>
      <c r="P38" s="44">
        <v>39</v>
      </c>
      <c r="Q38" s="44">
        <v>47</v>
      </c>
      <c r="R38" s="44">
        <v>54</v>
      </c>
      <c r="S38" s="44">
        <v>32</v>
      </c>
      <c r="T38" s="44">
        <v>8</v>
      </c>
      <c r="U38" s="44">
        <v>0</v>
      </c>
      <c r="V38" s="44">
        <v>0</v>
      </c>
      <c r="W38" s="37">
        <f t="shared" ref="W38:X38" si="37">G38+I38+K38+M38</f>
        <v>112</v>
      </c>
      <c r="X38" s="37">
        <f t="shared" si="37"/>
        <v>98</v>
      </c>
    </row>
    <row r="39" spans="1:24" x14ac:dyDescent="0.25">
      <c r="A39" s="8"/>
      <c r="B39" s="8"/>
      <c r="C39" s="8"/>
      <c r="D39" s="34">
        <v>123</v>
      </c>
      <c r="E39" s="34">
        <v>118</v>
      </c>
      <c r="F39" s="35" t="s">
        <v>96</v>
      </c>
      <c r="G39" s="34">
        <v>25</v>
      </c>
      <c r="H39" s="34">
        <v>21</v>
      </c>
      <c r="I39" s="34">
        <v>47</v>
      </c>
      <c r="J39" s="34">
        <v>58</v>
      </c>
      <c r="K39" s="34">
        <v>50</v>
      </c>
      <c r="L39" s="34">
        <v>39</v>
      </c>
      <c r="M39" s="34">
        <v>1</v>
      </c>
      <c r="N39" s="34">
        <v>0</v>
      </c>
      <c r="O39" s="45">
        <v>66</v>
      </c>
      <c r="P39" s="46">
        <v>71</v>
      </c>
      <c r="Q39" s="46">
        <v>45</v>
      </c>
      <c r="R39" s="46">
        <v>55</v>
      </c>
      <c r="S39" s="46">
        <v>13</v>
      </c>
      <c r="T39" s="46">
        <v>10</v>
      </c>
      <c r="U39" s="46">
        <v>0</v>
      </c>
      <c r="V39" s="46">
        <v>0</v>
      </c>
      <c r="W39" s="37">
        <f t="shared" ref="W39:X39" si="38">G39+I39+K39+M39</f>
        <v>123</v>
      </c>
      <c r="X39" s="37">
        <f t="shared" si="38"/>
        <v>118</v>
      </c>
    </row>
    <row r="40" spans="1:1" x14ac:dyDescent="0.25">
      <c r="A40" s="47"/>
    </row>
    <row r="41" spans="4:5" x14ac:dyDescent="0.25">
      <c r="D41" s="37">
        <f t="shared" ref="D41:E41" si="39">SUM(D4:D40)</f>
        <v>467</v>
      </c>
      <c r="E41" s="37">
        <f t="shared" si="39"/>
        <v>432</v>
      </c>
    </row>
  </sheetData>
  <mergeCells count="70">
    <mergeCell ref="C1:E1"/>
    <mergeCell ref="G1:N1"/>
    <mergeCell ref="O1:V1"/>
    <mergeCell ref="A1:A3"/>
    <mergeCell ref="B1:B3"/>
    <mergeCell ref="D2:E2"/>
    <mergeCell ref="F1:F3"/>
    <mergeCell ref="G2:H2"/>
    <mergeCell ref="I2:J2"/>
    <mergeCell ref="K2:L2"/>
    <mergeCell ref="M2:N2"/>
    <mergeCell ref="O2:P2"/>
    <mergeCell ref="Q2:R2"/>
    <mergeCell ref="S2:T2"/>
    <mergeCell ref="U2:V2"/>
    <mergeCell ref="C2:C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4:A25"/>
    <mergeCell ref="B24:B25"/>
    <mergeCell ref="C24:C25"/>
    <mergeCell ref="A26:A27"/>
    <mergeCell ref="B26:B27"/>
    <mergeCell ref="C26:C27"/>
    <mergeCell ref="A28:A29"/>
    <mergeCell ref="B28:B29"/>
    <mergeCell ref="C28:C29"/>
    <mergeCell ref="A30:A31"/>
    <mergeCell ref="B30:B31"/>
    <mergeCell ref="C30:C31"/>
    <mergeCell ref="A32:A33"/>
    <mergeCell ref="B32:B33"/>
    <mergeCell ref="C32:C33"/>
    <mergeCell ref="A34:A35"/>
    <mergeCell ref="B34:B35"/>
    <mergeCell ref="C34:C35"/>
    <mergeCell ref="A36:A37"/>
    <mergeCell ref="B36:B37"/>
    <mergeCell ref="C36:C37"/>
    <mergeCell ref="A38:A39"/>
    <mergeCell ref="B38:B39"/>
    <mergeCell ref="C38:C39"/>
  </mergeCells>
  <printOptions gridLines="1" horizontalCentered="1"/>
  <pageMargins left="0.7" right="0.7" top="0.75" bottom="0.75" header="0" footer="0"/>
  <pageSetup paperSize="9" orientation="landscape" horizontalDpi="4294967295" verticalDpi="4294967295" pageOrder="overThenDown" cellComments="atEnd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5.13" customWidth="1"/>
    <col min="3" max="3" width="14.63" customWidth="1"/>
    <col min="4" max="4" width="14.13" customWidth="1"/>
    <col min="5" max="5" width="16" customWidth="1"/>
  </cols>
  <sheetData>
    <row r="1" ht="25.5" customHeight="1" spans="1:22" x14ac:dyDescent="0.25">
      <c r="A1" s="28" t="s">
        <v>0</v>
      </c>
      <c r="B1" s="28" t="s">
        <v>1</v>
      </c>
      <c r="C1" s="29" t="s">
        <v>2</v>
      </c>
      <c r="D1" s="3"/>
      <c r="E1" s="4"/>
      <c r="F1" s="30" t="s">
        <v>3</v>
      </c>
      <c r="G1" s="29" t="s">
        <v>4</v>
      </c>
      <c r="H1" s="3"/>
      <c r="I1" s="3"/>
      <c r="J1" s="3"/>
      <c r="K1" s="3"/>
      <c r="L1" s="3"/>
      <c r="M1" s="3"/>
      <c r="N1" s="4"/>
      <c r="O1" s="29" t="s">
        <v>5</v>
      </c>
      <c r="P1" s="3"/>
      <c r="Q1" s="3"/>
      <c r="R1" s="3"/>
      <c r="S1" s="3"/>
      <c r="T1" s="3"/>
      <c r="U1" s="3"/>
      <c r="V1" s="4"/>
    </row>
    <row r="2" ht="27" customHeight="1" spans="1:22" x14ac:dyDescent="0.25">
      <c r="A2" s="7"/>
      <c r="B2" s="7"/>
      <c r="C2" s="48" t="s">
        <v>6</v>
      </c>
      <c r="D2" s="29" t="s">
        <v>7</v>
      </c>
      <c r="E2" s="4"/>
      <c r="F2" s="7"/>
      <c r="G2" s="29" t="s">
        <v>8</v>
      </c>
      <c r="H2" s="4"/>
      <c r="I2" s="29" t="s">
        <v>9</v>
      </c>
      <c r="J2" s="4"/>
      <c r="K2" s="29" t="s">
        <v>10</v>
      </c>
      <c r="L2" s="4"/>
      <c r="M2" s="29" t="s">
        <v>11</v>
      </c>
      <c r="N2" s="4"/>
      <c r="O2" s="29" t="s">
        <v>8</v>
      </c>
      <c r="P2" s="4"/>
      <c r="Q2" s="29" t="s">
        <v>9</v>
      </c>
      <c r="R2" s="4"/>
      <c r="S2" s="29" t="s">
        <v>10</v>
      </c>
      <c r="T2" s="4"/>
      <c r="U2" s="29" t="s">
        <v>11</v>
      </c>
      <c r="V2" s="4"/>
    </row>
    <row r="3" spans="1:22" x14ac:dyDescent="0.25">
      <c r="A3" s="8"/>
      <c r="B3" s="8"/>
      <c r="C3" s="8"/>
      <c r="D3" s="31" t="s">
        <v>12</v>
      </c>
      <c r="E3" s="31" t="s">
        <v>13</v>
      </c>
      <c r="F3" s="8"/>
      <c r="G3" s="31" t="s">
        <v>12</v>
      </c>
      <c r="H3" s="31" t="s">
        <v>13</v>
      </c>
      <c r="I3" s="31" t="s">
        <v>12</v>
      </c>
      <c r="J3" s="31" t="s">
        <v>13</v>
      </c>
      <c r="K3" s="31" t="s">
        <v>12</v>
      </c>
      <c r="L3" s="31" t="s">
        <v>13</v>
      </c>
      <c r="M3" s="31" t="s">
        <v>12</v>
      </c>
      <c r="N3" s="31" t="s">
        <v>13</v>
      </c>
      <c r="O3" s="31" t="s">
        <v>12</v>
      </c>
      <c r="P3" s="31" t="s">
        <v>13</v>
      </c>
      <c r="Q3" s="31" t="s">
        <v>12</v>
      </c>
      <c r="R3" s="31" t="s">
        <v>13</v>
      </c>
      <c r="S3" s="31" t="s">
        <v>12</v>
      </c>
      <c r="T3" s="31" t="s">
        <v>13</v>
      </c>
      <c r="U3" s="31" t="s">
        <v>12</v>
      </c>
      <c r="V3" s="31" t="s">
        <v>13</v>
      </c>
    </row>
    <row r="4" spans="1:24" x14ac:dyDescent="0.25">
      <c r="A4" s="32" t="s">
        <v>14</v>
      </c>
      <c r="B4" s="33">
        <v>145</v>
      </c>
      <c r="C4" s="33">
        <v>82</v>
      </c>
      <c r="D4" s="34">
        <v>16</v>
      </c>
      <c r="E4" s="34">
        <v>11</v>
      </c>
      <c r="F4" s="35" t="s">
        <v>97</v>
      </c>
      <c r="G4" s="36">
        <v>6</v>
      </c>
      <c r="H4" s="36">
        <v>3</v>
      </c>
      <c r="I4" s="36">
        <v>5</v>
      </c>
      <c r="J4" s="36">
        <v>5</v>
      </c>
      <c r="K4" s="36">
        <v>5</v>
      </c>
      <c r="L4" s="36">
        <v>3</v>
      </c>
      <c r="M4" s="36">
        <v>0</v>
      </c>
      <c r="N4" s="36">
        <v>0</v>
      </c>
      <c r="O4" s="34">
        <v>9</v>
      </c>
      <c r="P4" s="34">
        <v>8</v>
      </c>
      <c r="Q4" s="34">
        <v>7</v>
      </c>
      <c r="R4" s="34">
        <v>3</v>
      </c>
      <c r="S4" s="34">
        <v>0</v>
      </c>
      <c r="T4" s="34">
        <v>0</v>
      </c>
      <c r="U4" s="34">
        <v>0</v>
      </c>
      <c r="V4" s="34">
        <v>0</v>
      </c>
      <c r="W4" s="37">
        <f t="shared" ref="W4:X4" si="0">G4+I4+K4+M4</f>
        <v>16</v>
      </c>
      <c r="X4" s="37">
        <f t="shared" si="0"/>
        <v>11</v>
      </c>
    </row>
    <row r="5" spans="1:24" x14ac:dyDescent="0.25">
      <c r="A5" s="8"/>
      <c r="B5" s="8"/>
      <c r="C5" s="8"/>
      <c r="D5" s="34">
        <v>20</v>
      </c>
      <c r="E5" s="34">
        <v>16</v>
      </c>
      <c r="F5" s="35" t="s">
        <v>98</v>
      </c>
      <c r="G5" s="34">
        <v>5</v>
      </c>
      <c r="H5" s="34">
        <v>5</v>
      </c>
      <c r="I5" s="34">
        <v>8</v>
      </c>
      <c r="J5" s="34">
        <v>6</v>
      </c>
      <c r="K5" s="34">
        <v>7</v>
      </c>
      <c r="L5" s="34">
        <v>5</v>
      </c>
      <c r="M5" s="34">
        <v>0</v>
      </c>
      <c r="N5" s="34">
        <v>0</v>
      </c>
      <c r="O5" s="34">
        <v>13</v>
      </c>
      <c r="P5" s="34">
        <v>12</v>
      </c>
      <c r="Q5" s="34">
        <v>5</v>
      </c>
      <c r="R5" s="34">
        <v>2</v>
      </c>
      <c r="S5" s="34">
        <v>2</v>
      </c>
      <c r="T5" s="34">
        <v>2</v>
      </c>
      <c r="U5" s="34">
        <v>0</v>
      </c>
      <c r="V5" s="34">
        <v>0</v>
      </c>
      <c r="W5" s="37">
        <f t="shared" ref="W5:X5" si="1">G5+I5+K5+M5</f>
        <v>20</v>
      </c>
      <c r="X5" s="37">
        <f t="shared" si="1"/>
        <v>16</v>
      </c>
    </row>
    <row r="6" spans="1:24" x14ac:dyDescent="0.25">
      <c r="A6" s="32" t="s">
        <v>99</v>
      </c>
      <c r="B6" s="33">
        <v>22</v>
      </c>
      <c r="C6" s="33">
        <v>5</v>
      </c>
      <c r="D6" s="34">
        <v>7</v>
      </c>
      <c r="E6" s="34">
        <v>6</v>
      </c>
      <c r="F6" s="35" t="s">
        <v>100</v>
      </c>
      <c r="G6" s="36">
        <v>0</v>
      </c>
      <c r="H6" s="36">
        <v>0</v>
      </c>
      <c r="I6" s="36">
        <v>5</v>
      </c>
      <c r="J6" s="36">
        <v>5</v>
      </c>
      <c r="K6" s="36">
        <v>2</v>
      </c>
      <c r="L6" s="36">
        <v>1</v>
      </c>
      <c r="M6" s="36">
        <v>0</v>
      </c>
      <c r="N6" s="36">
        <v>0</v>
      </c>
      <c r="O6" s="34">
        <v>3</v>
      </c>
      <c r="P6" s="34">
        <v>4</v>
      </c>
      <c r="Q6" s="34">
        <v>7</v>
      </c>
      <c r="R6" s="34">
        <v>6</v>
      </c>
      <c r="S6" s="34">
        <v>1</v>
      </c>
      <c r="T6" s="34">
        <v>1</v>
      </c>
      <c r="U6" s="34">
        <v>0</v>
      </c>
      <c r="V6" s="34">
        <v>0</v>
      </c>
      <c r="W6" s="37">
        <f t="shared" ref="W6:X6" si="2">G6+I6+K6+M6</f>
        <v>7</v>
      </c>
      <c r="X6" s="37">
        <f t="shared" si="2"/>
        <v>6</v>
      </c>
    </row>
    <row r="7" spans="1:24" x14ac:dyDescent="0.25">
      <c r="A7" s="8"/>
      <c r="B7" s="8"/>
      <c r="C7" s="8"/>
      <c r="D7" s="34">
        <v>2</v>
      </c>
      <c r="E7" s="34">
        <v>2</v>
      </c>
      <c r="F7" s="35" t="s">
        <v>101</v>
      </c>
      <c r="G7" s="34">
        <v>0</v>
      </c>
      <c r="H7" s="34">
        <v>0</v>
      </c>
      <c r="I7" s="34">
        <v>1</v>
      </c>
      <c r="J7" s="34">
        <v>1</v>
      </c>
      <c r="K7" s="34">
        <v>1</v>
      </c>
      <c r="L7" s="34">
        <v>1</v>
      </c>
      <c r="M7" s="34">
        <v>0</v>
      </c>
      <c r="N7" s="34">
        <v>0</v>
      </c>
      <c r="O7" s="34">
        <v>0</v>
      </c>
      <c r="P7" s="34">
        <v>0</v>
      </c>
      <c r="Q7" s="34">
        <v>2</v>
      </c>
      <c r="R7" s="34">
        <v>2</v>
      </c>
      <c r="S7" s="34">
        <v>0</v>
      </c>
      <c r="T7" s="34">
        <v>0</v>
      </c>
      <c r="U7" s="34">
        <v>0</v>
      </c>
      <c r="V7" s="34">
        <v>0</v>
      </c>
      <c r="W7" s="37">
        <f t="shared" ref="W7:X7" si="3">G7+I7+K7+M7</f>
        <v>2</v>
      </c>
      <c r="X7" s="37">
        <f t="shared" si="3"/>
        <v>2</v>
      </c>
    </row>
    <row r="8" spans="1:24" x14ac:dyDescent="0.25">
      <c r="A8" s="32" t="s">
        <v>20</v>
      </c>
      <c r="B8" s="33">
        <v>36</v>
      </c>
      <c r="C8" s="33">
        <v>12</v>
      </c>
      <c r="D8" s="34">
        <v>6</v>
      </c>
      <c r="E8" s="34">
        <v>1</v>
      </c>
      <c r="F8" s="35" t="s">
        <v>102</v>
      </c>
      <c r="G8" s="36">
        <v>2</v>
      </c>
      <c r="H8" s="36">
        <v>0</v>
      </c>
      <c r="I8" s="36">
        <v>4</v>
      </c>
      <c r="J8" s="36">
        <v>1</v>
      </c>
      <c r="K8" s="36">
        <v>0</v>
      </c>
      <c r="L8" s="36">
        <v>0</v>
      </c>
      <c r="M8" s="36">
        <v>0</v>
      </c>
      <c r="N8" s="36">
        <v>0</v>
      </c>
      <c r="O8" s="34">
        <v>2</v>
      </c>
      <c r="P8" s="34">
        <v>0</v>
      </c>
      <c r="Q8" s="34">
        <v>4</v>
      </c>
      <c r="R8" s="34">
        <v>1</v>
      </c>
      <c r="S8" s="34">
        <v>0</v>
      </c>
      <c r="T8" s="34">
        <v>0</v>
      </c>
      <c r="U8" s="34">
        <v>0</v>
      </c>
      <c r="V8" s="34">
        <v>0</v>
      </c>
      <c r="W8" s="37">
        <f t="shared" ref="W8:X8" si="4">G8+I8+K8+M8</f>
        <v>6</v>
      </c>
      <c r="X8" s="37">
        <f t="shared" si="4"/>
        <v>1</v>
      </c>
    </row>
    <row r="9" spans="1:24" x14ac:dyDescent="0.25">
      <c r="A9" s="8"/>
      <c r="B9" s="8"/>
      <c r="C9" s="8"/>
      <c r="D9" s="34">
        <v>9</v>
      </c>
      <c r="E9" s="34">
        <v>8</v>
      </c>
      <c r="F9" s="35" t="s">
        <v>103</v>
      </c>
      <c r="G9" s="34">
        <v>0</v>
      </c>
      <c r="H9" s="34">
        <v>0</v>
      </c>
      <c r="I9" s="34">
        <v>3</v>
      </c>
      <c r="J9" s="34">
        <v>4</v>
      </c>
      <c r="K9" s="34">
        <v>6</v>
      </c>
      <c r="L9" s="34">
        <v>4</v>
      </c>
      <c r="M9" s="34">
        <v>0</v>
      </c>
      <c r="N9" s="34">
        <v>0</v>
      </c>
      <c r="O9" s="34">
        <v>3</v>
      </c>
      <c r="P9" s="34">
        <v>4</v>
      </c>
      <c r="Q9" s="34">
        <v>3</v>
      </c>
      <c r="R9" s="34">
        <v>2</v>
      </c>
      <c r="S9" s="34">
        <v>3</v>
      </c>
      <c r="T9" s="34">
        <v>2</v>
      </c>
      <c r="U9" s="34">
        <v>0</v>
      </c>
      <c r="V9" s="34">
        <v>0</v>
      </c>
      <c r="W9" s="37">
        <f t="shared" ref="W9:X9" si="5">G9+I9+K9+M9</f>
        <v>9</v>
      </c>
      <c r="X9" s="37">
        <f t="shared" si="5"/>
        <v>8</v>
      </c>
    </row>
    <row r="10" spans="1:24" x14ac:dyDescent="0.25">
      <c r="A10" s="32" t="s">
        <v>23</v>
      </c>
      <c r="B10" s="33">
        <v>22</v>
      </c>
      <c r="C10" s="33">
        <v>8</v>
      </c>
      <c r="D10" s="34">
        <v>5</v>
      </c>
      <c r="E10" s="34">
        <v>3</v>
      </c>
      <c r="F10" s="35" t="s">
        <v>71</v>
      </c>
      <c r="G10" s="36">
        <v>0</v>
      </c>
      <c r="H10" s="36">
        <v>0</v>
      </c>
      <c r="I10" s="36">
        <v>1</v>
      </c>
      <c r="J10" s="36">
        <v>1</v>
      </c>
      <c r="K10" s="36">
        <v>4</v>
      </c>
      <c r="L10" s="36">
        <v>2</v>
      </c>
      <c r="M10" s="36">
        <v>0</v>
      </c>
      <c r="N10" s="36">
        <v>0</v>
      </c>
      <c r="O10" s="34">
        <v>1</v>
      </c>
      <c r="P10" s="34">
        <v>1</v>
      </c>
      <c r="Q10" s="34">
        <v>4</v>
      </c>
      <c r="R10" s="34">
        <v>2</v>
      </c>
      <c r="S10" s="34">
        <v>0</v>
      </c>
      <c r="T10" s="34">
        <v>0</v>
      </c>
      <c r="U10" s="34">
        <v>0</v>
      </c>
      <c r="V10" s="34">
        <v>0</v>
      </c>
      <c r="W10" s="37">
        <f t="shared" ref="W10:X10" si="6">G10+I10+K10+M10</f>
        <v>5</v>
      </c>
      <c r="X10" s="37">
        <f t="shared" si="6"/>
        <v>3</v>
      </c>
    </row>
    <row r="11" spans="1:24" x14ac:dyDescent="0.25">
      <c r="A11" s="8"/>
      <c r="B11" s="8"/>
      <c r="C11" s="8"/>
      <c r="D11" s="34">
        <v>4</v>
      </c>
      <c r="E11" s="34">
        <v>2</v>
      </c>
      <c r="F11" s="35" t="s">
        <v>104</v>
      </c>
      <c r="G11" s="34">
        <v>0</v>
      </c>
      <c r="H11" s="34">
        <v>0</v>
      </c>
      <c r="I11" s="34">
        <v>2</v>
      </c>
      <c r="J11" s="34">
        <v>1</v>
      </c>
      <c r="K11" s="34">
        <v>2</v>
      </c>
      <c r="L11" s="34">
        <v>1</v>
      </c>
      <c r="M11" s="34">
        <v>0</v>
      </c>
      <c r="N11" s="34">
        <v>0</v>
      </c>
      <c r="O11" s="34">
        <v>2</v>
      </c>
      <c r="P11" s="34">
        <v>1</v>
      </c>
      <c r="Q11" s="34">
        <v>2</v>
      </c>
      <c r="R11" s="34">
        <v>1</v>
      </c>
      <c r="S11" s="34">
        <v>0</v>
      </c>
      <c r="T11" s="34">
        <v>0</v>
      </c>
      <c r="U11" s="34">
        <v>0</v>
      </c>
      <c r="V11" s="34">
        <v>0</v>
      </c>
      <c r="W11" s="37">
        <f t="shared" ref="W11:X11" si="7">G11+I11+K11+M11</f>
        <v>4</v>
      </c>
      <c r="X11" s="37">
        <f t="shared" si="7"/>
        <v>2</v>
      </c>
    </row>
    <row r="12" spans="1:24" x14ac:dyDescent="0.25">
      <c r="A12" s="32" t="s">
        <v>26</v>
      </c>
      <c r="B12" s="33">
        <v>15</v>
      </c>
      <c r="C12" s="33">
        <v>1</v>
      </c>
      <c r="D12" s="34">
        <v>4</v>
      </c>
      <c r="E12" s="34">
        <v>2</v>
      </c>
      <c r="F12" s="35" t="s">
        <v>105</v>
      </c>
      <c r="G12" s="36">
        <v>1</v>
      </c>
      <c r="H12" s="36">
        <v>0</v>
      </c>
      <c r="I12" s="36">
        <v>2</v>
      </c>
      <c r="J12" s="36">
        <v>1</v>
      </c>
      <c r="K12" s="36">
        <v>1</v>
      </c>
      <c r="L12" s="36">
        <v>1</v>
      </c>
      <c r="M12" s="36">
        <v>0</v>
      </c>
      <c r="N12" s="36">
        <v>0</v>
      </c>
      <c r="O12" s="34">
        <v>2</v>
      </c>
      <c r="P12" s="34">
        <v>1</v>
      </c>
      <c r="Q12" s="34">
        <v>1</v>
      </c>
      <c r="R12" s="34">
        <v>1</v>
      </c>
      <c r="S12" s="34">
        <v>1</v>
      </c>
      <c r="T12" s="34">
        <v>0</v>
      </c>
      <c r="U12" s="34">
        <v>0</v>
      </c>
      <c r="V12" s="34">
        <v>0</v>
      </c>
      <c r="W12" s="37">
        <f t="shared" ref="W12:X12" si="8">G12+I12+K12+M12</f>
        <v>4</v>
      </c>
      <c r="X12" s="37">
        <f t="shared" si="8"/>
        <v>2</v>
      </c>
    </row>
    <row r="13" spans="1:24" x14ac:dyDescent="0.25">
      <c r="A13" s="8"/>
      <c r="B13" s="8"/>
      <c r="C13" s="8"/>
      <c r="D13" s="34">
        <v>4</v>
      </c>
      <c r="E13" s="34">
        <v>4</v>
      </c>
      <c r="F13" s="35" t="s">
        <v>106</v>
      </c>
      <c r="G13" s="34">
        <v>2</v>
      </c>
      <c r="H13" s="34">
        <v>1</v>
      </c>
      <c r="I13" s="34">
        <v>1</v>
      </c>
      <c r="J13" s="34">
        <v>2</v>
      </c>
      <c r="K13" s="34">
        <v>1</v>
      </c>
      <c r="L13" s="34">
        <v>1</v>
      </c>
      <c r="M13" s="34">
        <v>0</v>
      </c>
      <c r="N13" s="34">
        <v>0</v>
      </c>
      <c r="O13" s="34">
        <v>2</v>
      </c>
      <c r="P13" s="34">
        <v>2</v>
      </c>
      <c r="Q13" s="34">
        <v>2</v>
      </c>
      <c r="R13" s="34">
        <v>1</v>
      </c>
      <c r="S13" s="34">
        <v>1</v>
      </c>
      <c r="T13" s="34">
        <v>0</v>
      </c>
      <c r="U13" s="34">
        <v>0</v>
      </c>
      <c r="V13" s="34">
        <v>0</v>
      </c>
      <c r="W13" s="37">
        <f t="shared" ref="W13:X13" si="9">G13+I13+K13+M13</f>
        <v>4</v>
      </c>
      <c r="X13" s="37">
        <f t="shared" si="9"/>
        <v>4</v>
      </c>
    </row>
    <row r="14" spans="1:24" x14ac:dyDescent="0.25">
      <c r="A14" s="32" t="s">
        <v>29</v>
      </c>
      <c r="B14" s="33">
        <v>67</v>
      </c>
      <c r="C14" s="33">
        <v>6</v>
      </c>
      <c r="D14" s="34">
        <v>8</v>
      </c>
      <c r="E14" s="34">
        <v>11</v>
      </c>
      <c r="F14" s="35" t="s">
        <v>107</v>
      </c>
      <c r="G14" s="36">
        <v>2</v>
      </c>
      <c r="H14" s="36">
        <v>1</v>
      </c>
      <c r="I14" s="36">
        <v>2</v>
      </c>
      <c r="J14" s="36">
        <v>7</v>
      </c>
      <c r="K14" s="36">
        <v>4</v>
      </c>
      <c r="L14" s="36">
        <v>3</v>
      </c>
      <c r="M14" s="36">
        <v>0</v>
      </c>
      <c r="N14" s="36">
        <v>0</v>
      </c>
      <c r="O14" s="34">
        <v>3</v>
      </c>
      <c r="P14" s="34">
        <v>4</v>
      </c>
      <c r="Q14" s="34">
        <v>4</v>
      </c>
      <c r="R14" s="34">
        <v>5</v>
      </c>
      <c r="S14" s="34">
        <v>1</v>
      </c>
      <c r="T14" s="34">
        <v>2</v>
      </c>
      <c r="U14" s="34">
        <v>0</v>
      </c>
      <c r="V14" s="34">
        <v>0</v>
      </c>
      <c r="W14" s="37">
        <f t="shared" ref="W14:X14" si="10">G14+I14+K14+M14</f>
        <v>8</v>
      </c>
      <c r="X14" s="37">
        <f t="shared" si="10"/>
        <v>11</v>
      </c>
    </row>
    <row r="15" spans="1:24" x14ac:dyDescent="0.25">
      <c r="A15" s="8"/>
      <c r="B15" s="8"/>
      <c r="C15" s="8"/>
      <c r="D15" s="34">
        <v>27</v>
      </c>
      <c r="E15" s="34">
        <v>15</v>
      </c>
      <c r="F15" s="35" t="s">
        <v>108</v>
      </c>
      <c r="G15" s="34">
        <v>6</v>
      </c>
      <c r="H15" s="34">
        <v>3</v>
      </c>
      <c r="I15" s="34">
        <v>13</v>
      </c>
      <c r="J15" s="34">
        <v>8</v>
      </c>
      <c r="K15" s="34">
        <v>7</v>
      </c>
      <c r="L15" s="34">
        <v>4</v>
      </c>
      <c r="M15" s="34">
        <v>1</v>
      </c>
      <c r="N15" s="34">
        <v>0</v>
      </c>
      <c r="O15" s="34">
        <v>10</v>
      </c>
      <c r="P15" s="34">
        <v>6</v>
      </c>
      <c r="Q15" s="34">
        <v>12</v>
      </c>
      <c r="R15" s="34">
        <v>7</v>
      </c>
      <c r="S15" s="34">
        <v>5</v>
      </c>
      <c r="T15" s="34">
        <v>2</v>
      </c>
      <c r="U15" s="34">
        <v>0</v>
      </c>
      <c r="V15" s="34">
        <v>0</v>
      </c>
      <c r="W15" s="37">
        <f t="shared" ref="W15:X15" si="11">G15+I15+K15+M15</f>
        <v>27</v>
      </c>
      <c r="X15" s="37">
        <f t="shared" si="11"/>
        <v>15</v>
      </c>
    </row>
    <row r="16" spans="1:24" x14ac:dyDescent="0.25">
      <c r="A16" s="32" t="s">
        <v>32</v>
      </c>
      <c r="B16" s="33">
        <v>10</v>
      </c>
      <c r="C16" s="33">
        <v>1</v>
      </c>
      <c r="D16" s="34">
        <v>3</v>
      </c>
      <c r="E16" s="34">
        <v>1</v>
      </c>
      <c r="F16" s="35" t="s">
        <v>109</v>
      </c>
      <c r="G16" s="36">
        <v>0</v>
      </c>
      <c r="H16" s="36">
        <v>0</v>
      </c>
      <c r="I16" s="36">
        <v>0</v>
      </c>
      <c r="J16" s="36">
        <v>0</v>
      </c>
      <c r="K16" s="36">
        <v>3</v>
      </c>
      <c r="L16" s="36">
        <v>1</v>
      </c>
      <c r="M16" s="36">
        <v>0</v>
      </c>
      <c r="N16" s="36">
        <v>0</v>
      </c>
      <c r="O16" s="34">
        <v>0</v>
      </c>
      <c r="P16" s="34">
        <v>0</v>
      </c>
      <c r="Q16" s="34">
        <v>2</v>
      </c>
      <c r="R16" s="34">
        <v>1</v>
      </c>
      <c r="S16" s="34">
        <v>1</v>
      </c>
      <c r="T16" s="34">
        <v>0</v>
      </c>
      <c r="U16" s="34">
        <v>0</v>
      </c>
      <c r="V16" s="34">
        <v>0</v>
      </c>
      <c r="W16" s="37">
        <f t="shared" ref="W16:X16" si="12">G16+I16+K16+M16</f>
        <v>3</v>
      </c>
      <c r="X16" s="37">
        <f t="shared" si="12"/>
        <v>1</v>
      </c>
    </row>
    <row r="17" spans="1:24" x14ac:dyDescent="0.25">
      <c r="A17" s="8"/>
      <c r="B17" s="8"/>
      <c r="C17" s="8"/>
      <c r="D17" s="34">
        <v>2</v>
      </c>
      <c r="E17" s="34">
        <v>3</v>
      </c>
      <c r="F17" s="35" t="s">
        <v>110</v>
      </c>
      <c r="G17" s="34">
        <v>0</v>
      </c>
      <c r="H17" s="34">
        <v>1</v>
      </c>
      <c r="I17" s="34">
        <v>0</v>
      </c>
      <c r="J17" s="34">
        <v>1</v>
      </c>
      <c r="K17" s="34">
        <v>2</v>
      </c>
      <c r="L17" s="34">
        <v>1</v>
      </c>
      <c r="M17" s="34">
        <v>0</v>
      </c>
      <c r="N17" s="34">
        <v>0</v>
      </c>
      <c r="O17" s="34">
        <v>0</v>
      </c>
      <c r="P17" s="34">
        <v>2</v>
      </c>
      <c r="Q17" s="34">
        <v>2</v>
      </c>
      <c r="R17" s="34">
        <v>1</v>
      </c>
      <c r="S17" s="34">
        <v>0</v>
      </c>
      <c r="T17" s="34">
        <v>0</v>
      </c>
      <c r="U17" s="34">
        <v>0</v>
      </c>
      <c r="V17" s="34">
        <v>0</v>
      </c>
      <c r="W17" s="37">
        <f t="shared" ref="W17:X17" si="13">G17+I17+K17+M17</f>
        <v>2</v>
      </c>
      <c r="X17" s="37">
        <f t="shared" si="13"/>
        <v>3</v>
      </c>
    </row>
    <row r="18" spans="1:24" x14ac:dyDescent="0.25">
      <c r="A18" s="32" t="s">
        <v>35</v>
      </c>
      <c r="B18" s="33">
        <v>30</v>
      </c>
      <c r="C18" s="33">
        <v>5</v>
      </c>
      <c r="D18" s="34">
        <v>6</v>
      </c>
      <c r="E18" s="34">
        <v>3</v>
      </c>
      <c r="F18" s="35" t="s">
        <v>111</v>
      </c>
      <c r="G18" s="36">
        <v>1</v>
      </c>
      <c r="H18" s="36">
        <v>1</v>
      </c>
      <c r="I18" s="36">
        <v>1</v>
      </c>
      <c r="J18" s="36">
        <v>1</v>
      </c>
      <c r="K18" s="36">
        <v>3</v>
      </c>
      <c r="L18" s="36">
        <v>1</v>
      </c>
      <c r="M18" s="36">
        <v>1</v>
      </c>
      <c r="N18" s="36">
        <v>0</v>
      </c>
      <c r="O18" s="34">
        <v>2</v>
      </c>
      <c r="P18" s="34">
        <v>1</v>
      </c>
      <c r="Q18" s="34">
        <v>2</v>
      </c>
      <c r="R18" s="34">
        <v>2</v>
      </c>
      <c r="S18" s="34">
        <v>1</v>
      </c>
      <c r="T18" s="34">
        <v>0</v>
      </c>
      <c r="U18" s="34">
        <v>1</v>
      </c>
      <c r="V18" s="34">
        <v>0</v>
      </c>
      <c r="W18" s="37">
        <f t="shared" ref="W18:X18" si="14">G18+I18+K18+M18</f>
        <v>6</v>
      </c>
      <c r="X18" s="37">
        <f t="shared" si="14"/>
        <v>3</v>
      </c>
    </row>
    <row r="19" spans="1:24" x14ac:dyDescent="0.25">
      <c r="A19" s="8"/>
      <c r="B19" s="8"/>
      <c r="C19" s="8"/>
      <c r="D19" s="34">
        <v>9</v>
      </c>
      <c r="E19" s="34">
        <v>7</v>
      </c>
      <c r="F19" s="35" t="s">
        <v>112</v>
      </c>
      <c r="G19" s="34">
        <v>1</v>
      </c>
      <c r="H19" s="34">
        <v>2</v>
      </c>
      <c r="I19" s="34">
        <v>3</v>
      </c>
      <c r="J19" s="34">
        <v>2</v>
      </c>
      <c r="K19" s="34">
        <v>5</v>
      </c>
      <c r="L19" s="34">
        <v>3</v>
      </c>
      <c r="M19" s="34">
        <v>0</v>
      </c>
      <c r="N19" s="34">
        <v>0</v>
      </c>
      <c r="O19" s="34">
        <v>2</v>
      </c>
      <c r="P19" s="34">
        <v>3</v>
      </c>
      <c r="Q19" s="34">
        <v>5</v>
      </c>
      <c r="R19" s="34">
        <v>4</v>
      </c>
      <c r="S19" s="34">
        <v>2</v>
      </c>
      <c r="T19" s="34">
        <v>0</v>
      </c>
      <c r="U19" s="34">
        <v>0</v>
      </c>
      <c r="V19" s="34">
        <v>0</v>
      </c>
      <c r="W19" s="37">
        <f t="shared" ref="W19:X19" si="15">G19+I19+K19+M19</f>
        <v>9</v>
      </c>
      <c r="X19" s="37">
        <f t="shared" si="15"/>
        <v>7</v>
      </c>
    </row>
    <row r="20" spans="1:27" x14ac:dyDescent="0.25">
      <c r="A20" s="32" t="s">
        <v>38</v>
      </c>
      <c r="B20" s="49">
        <v>13</v>
      </c>
      <c r="C20" s="49">
        <v>3</v>
      </c>
      <c r="D20" s="50">
        <v>1</v>
      </c>
      <c r="E20" s="50">
        <v>0</v>
      </c>
      <c r="F20" s="51" t="s">
        <v>113</v>
      </c>
      <c r="G20" s="36">
        <v>0</v>
      </c>
      <c r="H20" s="36">
        <v>0</v>
      </c>
      <c r="I20" s="36">
        <v>0</v>
      </c>
      <c r="J20" s="36">
        <v>0</v>
      </c>
      <c r="K20" s="36">
        <v>1</v>
      </c>
      <c r="L20" s="36">
        <v>0</v>
      </c>
      <c r="M20" s="36">
        <v>0</v>
      </c>
      <c r="N20" s="36">
        <v>0</v>
      </c>
      <c r="O20" s="50">
        <v>0</v>
      </c>
      <c r="P20" s="50">
        <v>0</v>
      </c>
      <c r="Q20" s="50">
        <v>0</v>
      </c>
      <c r="R20" s="50">
        <v>0</v>
      </c>
      <c r="S20" s="50">
        <v>1</v>
      </c>
      <c r="T20" s="50">
        <v>0</v>
      </c>
      <c r="U20" s="50">
        <v>0</v>
      </c>
      <c r="V20" s="50">
        <v>0</v>
      </c>
      <c r="W20" s="52">
        <f t="shared" ref="W20:X20" si="16">G20+I20+K20+M20</f>
        <v>1</v>
      </c>
      <c r="X20" s="52">
        <f t="shared" si="16"/>
        <v>0</v>
      </c>
      <c r="Y20" s="52"/>
      <c r="Z20" s="52"/>
      <c r="AA20" s="52"/>
    </row>
    <row r="21" spans="1:27" x14ac:dyDescent="0.25">
      <c r="A21" s="8"/>
      <c r="B21" s="8"/>
      <c r="C21" s="8"/>
      <c r="D21" s="50">
        <v>3</v>
      </c>
      <c r="E21" s="50">
        <v>6</v>
      </c>
      <c r="F21" s="51" t="s">
        <v>114</v>
      </c>
      <c r="G21" s="50">
        <v>0</v>
      </c>
      <c r="H21" s="50">
        <v>2</v>
      </c>
      <c r="I21" s="50">
        <v>2</v>
      </c>
      <c r="J21" s="50">
        <v>2</v>
      </c>
      <c r="K21" s="50">
        <v>1</v>
      </c>
      <c r="L21" s="50">
        <v>2</v>
      </c>
      <c r="M21" s="50">
        <v>0</v>
      </c>
      <c r="N21" s="50">
        <v>0</v>
      </c>
      <c r="O21" s="50">
        <v>1</v>
      </c>
      <c r="P21" s="50">
        <v>2</v>
      </c>
      <c r="Q21" s="50">
        <v>3</v>
      </c>
      <c r="R21" s="50">
        <v>2</v>
      </c>
      <c r="S21" s="50">
        <v>1</v>
      </c>
      <c r="T21" s="50">
        <v>0</v>
      </c>
      <c r="U21" s="50">
        <v>0</v>
      </c>
      <c r="V21" s="50">
        <v>0</v>
      </c>
      <c r="W21" s="52">
        <f t="shared" ref="W21:X21" si="17">G21+I21+K21+M21</f>
        <v>3</v>
      </c>
      <c r="X21" s="52">
        <f t="shared" si="17"/>
        <v>6</v>
      </c>
      <c r="Y21" s="52"/>
      <c r="Z21" s="52"/>
      <c r="AA21" s="52"/>
    </row>
    <row r="22" spans="1:24" x14ac:dyDescent="0.25">
      <c r="A22" s="32" t="s">
        <v>41</v>
      </c>
      <c r="B22" s="53">
        <v>14</v>
      </c>
      <c r="C22" s="53">
        <v>2</v>
      </c>
      <c r="D22" s="34">
        <v>3</v>
      </c>
      <c r="E22" s="34">
        <v>2</v>
      </c>
      <c r="F22" s="35" t="s">
        <v>82</v>
      </c>
      <c r="G22" s="36">
        <v>0</v>
      </c>
      <c r="H22" s="36">
        <v>1</v>
      </c>
      <c r="I22" s="36">
        <v>0</v>
      </c>
      <c r="J22" s="36">
        <v>0</v>
      </c>
      <c r="K22" s="36">
        <v>3</v>
      </c>
      <c r="L22" s="36">
        <v>1</v>
      </c>
      <c r="M22" s="36">
        <v>0</v>
      </c>
      <c r="N22" s="36">
        <v>0</v>
      </c>
      <c r="O22" s="34">
        <v>1</v>
      </c>
      <c r="P22" s="34">
        <v>1</v>
      </c>
      <c r="Q22" s="34">
        <v>1</v>
      </c>
      <c r="R22" s="34">
        <v>1</v>
      </c>
      <c r="S22" s="34">
        <v>2</v>
      </c>
      <c r="T22" s="34">
        <v>0</v>
      </c>
      <c r="U22" s="34">
        <v>0</v>
      </c>
      <c r="V22" s="34">
        <v>0</v>
      </c>
      <c r="W22" s="37">
        <f t="shared" ref="W22:X22" si="18">G22+I22+K22+M22</f>
        <v>3</v>
      </c>
      <c r="X22" s="37">
        <f t="shared" si="18"/>
        <v>2</v>
      </c>
    </row>
    <row r="23" spans="1:24" x14ac:dyDescent="0.25">
      <c r="A23" s="8"/>
      <c r="B23" s="8"/>
      <c r="C23" s="8"/>
      <c r="D23" s="34">
        <v>4</v>
      </c>
      <c r="E23" s="34">
        <v>3</v>
      </c>
      <c r="F23" s="35" t="s">
        <v>115</v>
      </c>
      <c r="G23" s="34">
        <v>1</v>
      </c>
      <c r="H23" s="34">
        <v>1</v>
      </c>
      <c r="I23" s="34">
        <v>3</v>
      </c>
      <c r="J23" s="34">
        <v>2</v>
      </c>
      <c r="K23" s="34">
        <v>0</v>
      </c>
      <c r="L23" s="34">
        <v>0</v>
      </c>
      <c r="M23" s="34">
        <v>0</v>
      </c>
      <c r="N23" s="34">
        <v>0</v>
      </c>
      <c r="O23" s="34">
        <v>2</v>
      </c>
      <c r="P23" s="34">
        <v>2</v>
      </c>
      <c r="Q23" s="34">
        <v>2</v>
      </c>
      <c r="R23" s="34">
        <v>1</v>
      </c>
      <c r="S23" s="34">
        <v>0</v>
      </c>
      <c r="T23" s="34">
        <v>0</v>
      </c>
      <c r="U23" s="34">
        <v>0</v>
      </c>
      <c r="V23" s="34">
        <v>0</v>
      </c>
      <c r="W23" s="37">
        <f t="shared" ref="W23:X23" si="19">G23+I23+K23+M23</f>
        <v>4</v>
      </c>
      <c r="X23" s="37">
        <f t="shared" si="19"/>
        <v>3</v>
      </c>
    </row>
    <row r="24" spans="1:24" x14ac:dyDescent="0.25">
      <c r="A24" s="32" t="s">
        <v>44</v>
      </c>
      <c r="B24" s="53">
        <v>13</v>
      </c>
      <c r="C24" s="53">
        <v>10</v>
      </c>
      <c r="D24" s="34">
        <v>0</v>
      </c>
      <c r="E24" s="34">
        <v>0</v>
      </c>
      <c r="F24" s="35" t="s">
        <v>116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7">
        <f t="shared" ref="W24:X24" si="20">G24+I24+K24+M24</f>
        <v>0</v>
      </c>
      <c r="X24" s="37">
        <f t="shared" si="20"/>
        <v>0</v>
      </c>
    </row>
    <row r="25" spans="1:24" x14ac:dyDescent="0.25">
      <c r="A25" s="8"/>
      <c r="B25" s="8"/>
      <c r="C25" s="8"/>
      <c r="D25" s="34">
        <v>3</v>
      </c>
      <c r="E25" s="34">
        <v>0</v>
      </c>
      <c r="F25" s="35" t="s">
        <v>117</v>
      </c>
      <c r="G25" s="34">
        <v>4</v>
      </c>
      <c r="H25" s="34">
        <v>6</v>
      </c>
      <c r="I25" s="34">
        <v>2</v>
      </c>
      <c r="J25" s="34">
        <v>1</v>
      </c>
      <c r="K25" s="34">
        <v>0</v>
      </c>
      <c r="L25" s="34">
        <v>0</v>
      </c>
      <c r="M25" s="34">
        <v>0</v>
      </c>
      <c r="N25" s="34">
        <v>0</v>
      </c>
      <c r="O25" s="34">
        <v>6</v>
      </c>
      <c r="P25" s="34">
        <v>7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7">
        <f t="shared" ref="W25:X25" si="21">G25+I25+K25+M25</f>
        <v>6</v>
      </c>
      <c r="X25" s="37">
        <f t="shared" si="21"/>
        <v>7</v>
      </c>
    </row>
    <row r="26" spans="1:24" x14ac:dyDescent="0.25">
      <c r="A26" s="32" t="s">
        <v>47</v>
      </c>
      <c r="B26" s="53">
        <v>6</v>
      </c>
      <c r="C26" s="53">
        <v>0</v>
      </c>
      <c r="D26" s="34">
        <v>3</v>
      </c>
      <c r="E26" s="34">
        <v>0</v>
      </c>
      <c r="F26" s="35" t="s">
        <v>87</v>
      </c>
      <c r="G26" s="36">
        <v>0</v>
      </c>
      <c r="H26" s="36">
        <v>0</v>
      </c>
      <c r="I26" s="36">
        <v>2</v>
      </c>
      <c r="J26" s="36">
        <v>0</v>
      </c>
      <c r="K26" s="36">
        <v>1</v>
      </c>
      <c r="L26" s="36">
        <v>0</v>
      </c>
      <c r="M26" s="36">
        <v>0</v>
      </c>
      <c r="N26" s="36">
        <v>0</v>
      </c>
      <c r="O26" s="39">
        <v>0</v>
      </c>
      <c r="P26" s="39">
        <v>0</v>
      </c>
      <c r="Q26" s="39">
        <v>1</v>
      </c>
      <c r="R26" s="39">
        <v>0</v>
      </c>
      <c r="S26" s="39">
        <v>1</v>
      </c>
      <c r="T26" s="39">
        <v>0</v>
      </c>
      <c r="U26" s="39">
        <v>0</v>
      </c>
      <c r="V26" s="39">
        <v>0</v>
      </c>
      <c r="W26" s="37">
        <f t="shared" ref="W26:X26" si="22">G26+I26+K26+M26</f>
        <v>3</v>
      </c>
      <c r="X26" s="37">
        <f t="shared" si="22"/>
        <v>0</v>
      </c>
    </row>
    <row r="27" spans="1:24" x14ac:dyDescent="0.25">
      <c r="A27" s="8"/>
      <c r="B27" s="8"/>
      <c r="C27" s="8"/>
      <c r="D27" s="34">
        <v>2</v>
      </c>
      <c r="E27" s="34">
        <v>1</v>
      </c>
      <c r="F27" s="35" t="s">
        <v>117</v>
      </c>
      <c r="G27" s="34">
        <v>1</v>
      </c>
      <c r="H27" s="34">
        <v>1</v>
      </c>
      <c r="I27" s="34">
        <v>1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1</v>
      </c>
      <c r="P27" s="34">
        <v>1</v>
      </c>
      <c r="Q27" s="34">
        <v>1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7">
        <f t="shared" ref="W27:X27" si="23">G27+I27+K27+M27</f>
        <v>2</v>
      </c>
      <c r="X27" s="37">
        <f t="shared" si="23"/>
        <v>1</v>
      </c>
    </row>
    <row r="28" spans="1:24" x14ac:dyDescent="0.25">
      <c r="A28" s="32" t="s">
        <v>49</v>
      </c>
      <c r="B28" s="53">
        <v>22</v>
      </c>
      <c r="C28" s="53">
        <v>3</v>
      </c>
      <c r="D28" s="34">
        <v>4</v>
      </c>
      <c r="E28" s="34">
        <v>4</v>
      </c>
      <c r="F28" s="35" t="s">
        <v>71</v>
      </c>
      <c r="G28" s="36">
        <v>0</v>
      </c>
      <c r="H28" s="36">
        <v>0</v>
      </c>
      <c r="I28" s="36">
        <v>1</v>
      </c>
      <c r="J28" s="36">
        <v>1</v>
      </c>
      <c r="K28" s="36">
        <v>3</v>
      </c>
      <c r="L28" s="36">
        <v>3</v>
      </c>
      <c r="M28" s="36">
        <v>0</v>
      </c>
      <c r="N28" s="36">
        <v>0</v>
      </c>
      <c r="O28" s="34">
        <v>2</v>
      </c>
      <c r="P28" s="34">
        <v>3</v>
      </c>
      <c r="Q28" s="34">
        <v>1</v>
      </c>
      <c r="R28" s="34">
        <v>1</v>
      </c>
      <c r="S28" s="34">
        <v>1</v>
      </c>
      <c r="T28" s="34">
        <v>0</v>
      </c>
      <c r="U28" s="34">
        <v>0</v>
      </c>
      <c r="V28" s="34">
        <v>0</v>
      </c>
      <c r="W28" s="37">
        <f t="shared" ref="W28:X28" si="24">G28+I28+K28+M28</f>
        <v>4</v>
      </c>
      <c r="X28" s="37">
        <f t="shared" si="24"/>
        <v>4</v>
      </c>
    </row>
    <row r="29" spans="1:24" x14ac:dyDescent="0.25">
      <c r="A29" s="8"/>
      <c r="B29" s="8"/>
      <c r="C29" s="8"/>
      <c r="D29" s="34">
        <v>6</v>
      </c>
      <c r="E29" s="34">
        <v>5</v>
      </c>
      <c r="F29" s="35" t="s">
        <v>118</v>
      </c>
      <c r="G29" s="34">
        <v>1</v>
      </c>
      <c r="H29" s="34">
        <v>1</v>
      </c>
      <c r="I29" s="34">
        <v>2</v>
      </c>
      <c r="J29" s="34">
        <v>2</v>
      </c>
      <c r="K29" s="34">
        <v>3</v>
      </c>
      <c r="L29" s="34">
        <v>2</v>
      </c>
      <c r="M29" s="34">
        <v>0</v>
      </c>
      <c r="N29" s="34">
        <v>0</v>
      </c>
      <c r="O29" s="34">
        <v>3</v>
      </c>
      <c r="P29" s="34">
        <v>2</v>
      </c>
      <c r="Q29" s="34">
        <v>2</v>
      </c>
      <c r="R29" s="34">
        <v>3</v>
      </c>
      <c r="S29" s="34">
        <v>1</v>
      </c>
      <c r="T29" s="34">
        <v>0</v>
      </c>
      <c r="U29" s="34">
        <v>0</v>
      </c>
      <c r="V29" s="34">
        <v>0</v>
      </c>
      <c r="W29" s="37">
        <f t="shared" ref="W29:X29" si="25">G29+I29+K29+M29</f>
        <v>6</v>
      </c>
      <c r="X29" s="37">
        <f t="shared" si="25"/>
        <v>5</v>
      </c>
    </row>
    <row r="30" spans="1:24" x14ac:dyDescent="0.25">
      <c r="A30" s="32" t="s">
        <v>52</v>
      </c>
      <c r="B30" s="53">
        <v>16</v>
      </c>
      <c r="C30" s="53">
        <v>5</v>
      </c>
      <c r="D30" s="54">
        <v>1</v>
      </c>
      <c r="E30" s="54">
        <v>0</v>
      </c>
      <c r="F30" s="35" t="s">
        <v>119</v>
      </c>
      <c r="G30" s="36">
        <v>0</v>
      </c>
      <c r="H30" s="36">
        <v>0</v>
      </c>
      <c r="I30" s="36">
        <v>0</v>
      </c>
      <c r="J30" s="36">
        <v>0</v>
      </c>
      <c r="K30" s="36">
        <v>1</v>
      </c>
      <c r="L30" s="36">
        <v>0</v>
      </c>
      <c r="M30" s="36">
        <v>0</v>
      </c>
      <c r="N30" s="36">
        <v>0</v>
      </c>
      <c r="O30" s="34">
        <v>1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7">
        <f t="shared" ref="W30:X30" si="26">G30+I30+K30+M30</f>
        <v>1</v>
      </c>
      <c r="X30" s="37">
        <f t="shared" si="26"/>
        <v>0</v>
      </c>
    </row>
    <row r="31" spans="1:24" x14ac:dyDescent="0.25">
      <c r="A31" s="8"/>
      <c r="B31" s="8"/>
      <c r="C31" s="8"/>
      <c r="D31" s="54">
        <v>7</v>
      </c>
      <c r="E31" s="54">
        <v>3</v>
      </c>
      <c r="F31" s="35" t="s">
        <v>120</v>
      </c>
      <c r="G31" s="34">
        <v>5</v>
      </c>
      <c r="H31" s="34">
        <v>2</v>
      </c>
      <c r="I31" s="34">
        <v>0</v>
      </c>
      <c r="J31" s="34">
        <v>1</v>
      </c>
      <c r="K31" s="34">
        <v>2</v>
      </c>
      <c r="L31" s="34">
        <v>0</v>
      </c>
      <c r="M31" s="34">
        <v>0</v>
      </c>
      <c r="N31" s="34">
        <v>0</v>
      </c>
      <c r="O31" s="34">
        <v>6</v>
      </c>
      <c r="P31" s="34">
        <v>3</v>
      </c>
      <c r="Q31" s="34">
        <v>1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7">
        <f t="shared" ref="W31:X31" si="27">G31+I31+K31+M31</f>
        <v>7</v>
      </c>
      <c r="X31" s="37">
        <f t="shared" si="27"/>
        <v>3</v>
      </c>
    </row>
    <row r="32" spans="1:24" x14ac:dyDescent="0.25">
      <c r="A32" s="32" t="s">
        <v>55</v>
      </c>
      <c r="B32" s="53">
        <v>39</v>
      </c>
      <c r="C32" s="53">
        <v>6</v>
      </c>
      <c r="D32" s="34">
        <v>13</v>
      </c>
      <c r="E32" s="34">
        <v>4</v>
      </c>
      <c r="F32" s="35" t="s">
        <v>121</v>
      </c>
      <c r="G32" s="36">
        <v>2</v>
      </c>
      <c r="H32" s="36">
        <v>1</v>
      </c>
      <c r="I32" s="36">
        <v>8</v>
      </c>
      <c r="J32" s="36">
        <v>3</v>
      </c>
      <c r="K32" s="36">
        <v>3</v>
      </c>
      <c r="L32" s="36">
        <v>0</v>
      </c>
      <c r="M32" s="36">
        <v>0</v>
      </c>
      <c r="N32" s="36">
        <v>0</v>
      </c>
      <c r="O32" s="34">
        <v>4</v>
      </c>
      <c r="P32" s="34">
        <v>2</v>
      </c>
      <c r="Q32" s="34">
        <v>8</v>
      </c>
      <c r="R32" s="34">
        <v>2</v>
      </c>
      <c r="S32" s="34">
        <v>1</v>
      </c>
      <c r="T32" s="34">
        <v>0</v>
      </c>
      <c r="U32" s="34">
        <v>0</v>
      </c>
      <c r="V32" s="34">
        <v>0</v>
      </c>
      <c r="W32" s="37">
        <f t="shared" ref="W32:X32" si="28">G32+I32+K32+M32</f>
        <v>13</v>
      </c>
      <c r="X32" s="37">
        <f t="shared" si="28"/>
        <v>4</v>
      </c>
    </row>
    <row r="33" spans="1:24" x14ac:dyDescent="0.25">
      <c r="A33" s="8"/>
      <c r="B33" s="8"/>
      <c r="C33" s="8"/>
      <c r="D33" s="34">
        <v>6</v>
      </c>
      <c r="E33" s="34">
        <v>10</v>
      </c>
      <c r="F33" s="35" t="s">
        <v>122</v>
      </c>
      <c r="G33" s="34">
        <v>2</v>
      </c>
      <c r="H33" s="34">
        <v>2</v>
      </c>
      <c r="I33" s="34">
        <v>4</v>
      </c>
      <c r="J33" s="34">
        <v>7</v>
      </c>
      <c r="K33" s="34">
        <v>0</v>
      </c>
      <c r="L33" s="34">
        <v>1</v>
      </c>
      <c r="M33" s="34">
        <v>0</v>
      </c>
      <c r="N33" s="34">
        <v>0</v>
      </c>
      <c r="O33" s="34">
        <v>3</v>
      </c>
      <c r="P33" s="34">
        <v>4</v>
      </c>
      <c r="Q33" s="34">
        <v>3</v>
      </c>
      <c r="R33" s="34">
        <v>6</v>
      </c>
      <c r="S33" s="34">
        <v>0</v>
      </c>
      <c r="T33" s="34">
        <v>0</v>
      </c>
      <c r="U33" s="34">
        <v>0</v>
      </c>
      <c r="V33" s="34">
        <v>0</v>
      </c>
      <c r="W33" s="37">
        <f t="shared" ref="W33:X33" si="29">G33+I33+K33+M33</f>
        <v>6</v>
      </c>
      <c r="X33" s="37">
        <f t="shared" si="29"/>
        <v>10</v>
      </c>
    </row>
    <row r="34" spans="1:24" x14ac:dyDescent="0.25">
      <c r="A34" s="32" t="s">
        <v>58</v>
      </c>
      <c r="B34" s="53">
        <v>11</v>
      </c>
      <c r="C34" s="53">
        <v>1</v>
      </c>
      <c r="D34" s="34">
        <v>1</v>
      </c>
      <c r="E34" s="34">
        <v>1</v>
      </c>
      <c r="F34" s="35" t="s">
        <v>123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1</v>
      </c>
      <c r="M34" s="36">
        <v>1</v>
      </c>
      <c r="N34" s="36">
        <v>0</v>
      </c>
      <c r="O34" s="34">
        <v>0</v>
      </c>
      <c r="P34" s="34">
        <v>0</v>
      </c>
      <c r="Q34" s="34">
        <v>1</v>
      </c>
      <c r="R34" s="34">
        <v>1</v>
      </c>
      <c r="S34" s="34">
        <v>0</v>
      </c>
      <c r="T34" s="34">
        <v>0</v>
      </c>
      <c r="U34" s="34">
        <v>0</v>
      </c>
      <c r="V34" s="34">
        <v>0</v>
      </c>
      <c r="W34" s="37">
        <f>G34+I34+K34+O35</f>
        <v>0</v>
      </c>
      <c r="X34" s="37">
        <f>H34+J34+L34+N34</f>
        <v>1</v>
      </c>
    </row>
    <row r="35" spans="1:24" x14ac:dyDescent="0.25">
      <c r="A35" s="8"/>
      <c r="B35" s="8"/>
      <c r="C35" s="8"/>
      <c r="D35" s="34">
        <v>7</v>
      </c>
      <c r="E35" s="34">
        <v>1</v>
      </c>
      <c r="F35" s="35" t="s">
        <v>124</v>
      </c>
      <c r="G35" s="34">
        <v>0</v>
      </c>
      <c r="H35" s="34">
        <v>0</v>
      </c>
      <c r="I35" s="34">
        <v>2</v>
      </c>
      <c r="J35" s="34">
        <v>1</v>
      </c>
      <c r="K35" s="34">
        <v>5</v>
      </c>
      <c r="L35" s="34">
        <v>0</v>
      </c>
      <c r="M35" s="34">
        <v>0</v>
      </c>
      <c r="N35" s="34">
        <v>0</v>
      </c>
      <c r="O35" s="34">
        <v>0</v>
      </c>
      <c r="P35" s="34">
        <v>1</v>
      </c>
      <c r="Q35" s="34">
        <v>4</v>
      </c>
      <c r="R35" s="34">
        <v>0</v>
      </c>
      <c r="S35" s="34">
        <v>3</v>
      </c>
      <c r="T35" s="34">
        <v>0</v>
      </c>
      <c r="U35" s="34">
        <v>0</v>
      </c>
      <c r="V35" s="34">
        <v>0</v>
      </c>
      <c r="W35" s="37">
        <f t="shared" ref="W35:X35" si="30">G35+I35+K35+M35</f>
        <v>7</v>
      </c>
      <c r="X35" s="37">
        <f t="shared" si="30"/>
        <v>1</v>
      </c>
    </row>
    <row r="36" spans="1:24" x14ac:dyDescent="0.25">
      <c r="A36" s="32" t="s">
        <v>61</v>
      </c>
      <c r="B36" s="53">
        <v>94</v>
      </c>
      <c r="C36" s="53">
        <v>82</v>
      </c>
      <c r="D36" s="54">
        <v>0</v>
      </c>
      <c r="E36" s="54">
        <v>0</v>
      </c>
      <c r="F36" s="35" t="s">
        <v>125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7">
        <f t="shared" ref="W36:X36" si="31">G36+I36+K36+M36</f>
        <v>0</v>
      </c>
      <c r="X36" s="37">
        <f t="shared" si="31"/>
        <v>0</v>
      </c>
    </row>
    <row r="37" spans="1:24" x14ac:dyDescent="0.25">
      <c r="A37" s="8"/>
      <c r="B37" s="8"/>
      <c r="C37" s="8"/>
      <c r="D37" s="54">
        <v>11</v>
      </c>
      <c r="E37" s="54">
        <v>1</v>
      </c>
      <c r="F37" s="35" t="s">
        <v>126</v>
      </c>
      <c r="G37" s="34">
        <v>0</v>
      </c>
      <c r="H37" s="34">
        <v>0</v>
      </c>
      <c r="I37" s="34">
        <v>5</v>
      </c>
      <c r="J37" s="34">
        <v>0</v>
      </c>
      <c r="K37" s="34">
        <v>6</v>
      </c>
      <c r="L37" s="34">
        <v>1</v>
      </c>
      <c r="M37" s="34">
        <v>0</v>
      </c>
      <c r="N37" s="34">
        <v>0</v>
      </c>
      <c r="O37" s="34">
        <v>4</v>
      </c>
      <c r="P37" s="34">
        <v>0</v>
      </c>
      <c r="Q37" s="34">
        <v>6</v>
      </c>
      <c r="R37" s="34">
        <v>1</v>
      </c>
      <c r="S37" s="34">
        <v>1</v>
      </c>
      <c r="T37" s="34">
        <v>0</v>
      </c>
      <c r="U37" s="34">
        <v>0</v>
      </c>
      <c r="V37" s="34">
        <v>0</v>
      </c>
      <c r="W37" s="37">
        <f t="shared" ref="W37:X37" si="32">G37+I37+K37+M37</f>
        <v>11</v>
      </c>
      <c r="X37" s="37">
        <f t="shared" si="32"/>
        <v>1</v>
      </c>
    </row>
    <row r="38" spans="1:22" x14ac:dyDescent="0.25">
      <c r="A38" s="32" t="s">
        <v>64</v>
      </c>
      <c r="B38" s="33">
        <v>574</v>
      </c>
      <c r="C38" s="40">
        <f>SUM(C4:C37)</f>
        <v>232</v>
      </c>
      <c r="D38" s="34">
        <v>80</v>
      </c>
      <c r="E38" s="34">
        <v>49</v>
      </c>
      <c r="F38" s="35" t="s">
        <v>127</v>
      </c>
      <c r="G38" s="34">
        <v>12</v>
      </c>
      <c r="H38" s="34">
        <v>7</v>
      </c>
      <c r="I38" s="34">
        <v>28</v>
      </c>
      <c r="J38" s="34">
        <v>24</v>
      </c>
      <c r="K38" s="34">
        <v>38</v>
      </c>
      <c r="L38" s="34">
        <v>18</v>
      </c>
      <c r="M38" s="34">
        <v>2</v>
      </c>
      <c r="N38" s="34">
        <v>0</v>
      </c>
      <c r="O38" s="43">
        <v>30</v>
      </c>
      <c r="P38" s="44">
        <v>25</v>
      </c>
      <c r="Q38" s="44">
        <v>43</v>
      </c>
      <c r="R38" s="44">
        <v>26</v>
      </c>
      <c r="S38" s="44">
        <v>11</v>
      </c>
      <c r="T38" s="44">
        <v>3</v>
      </c>
      <c r="U38" s="44">
        <v>1</v>
      </c>
      <c r="V38" s="44">
        <v>0</v>
      </c>
    </row>
    <row r="39" spans="1:23" x14ac:dyDescent="0.25">
      <c r="A39" s="8"/>
      <c r="B39" s="8"/>
      <c r="C39" s="8"/>
      <c r="D39" s="34">
        <v>126</v>
      </c>
      <c r="E39" s="34">
        <v>87</v>
      </c>
      <c r="F39" s="35" t="s">
        <v>128</v>
      </c>
      <c r="G39" s="34">
        <v>24</v>
      </c>
      <c r="H39" s="34">
        <v>21</v>
      </c>
      <c r="I39" s="34">
        <v>50</v>
      </c>
      <c r="J39" s="34">
        <v>40</v>
      </c>
      <c r="K39" s="34">
        <v>51</v>
      </c>
      <c r="L39" s="34">
        <v>26</v>
      </c>
      <c r="M39" s="34">
        <v>1</v>
      </c>
      <c r="N39" s="34">
        <v>0</v>
      </c>
      <c r="O39" s="45">
        <v>58</v>
      </c>
      <c r="P39" s="46">
        <v>52</v>
      </c>
      <c r="Q39" s="46">
        <v>55</v>
      </c>
      <c r="R39" s="46">
        <v>33</v>
      </c>
      <c r="S39" s="46">
        <v>19</v>
      </c>
      <c r="T39" s="46">
        <v>6</v>
      </c>
      <c r="U39" s="46">
        <v>0</v>
      </c>
      <c r="V39" s="46">
        <v>0</v>
      </c>
      <c r="W39" s="37">
        <f>SUM(W4:W38)</f>
        <v>209</v>
      </c>
    </row>
    <row r="40" spans="1:24" x14ac:dyDescent="0.25">
      <c r="A40" s="47"/>
      <c r="X40" s="37">
        <f>SUM(X4:X39)</f>
        <v>143</v>
      </c>
    </row>
  </sheetData>
  <mergeCells count="70">
    <mergeCell ref="C1:E1"/>
    <mergeCell ref="G1:N1"/>
    <mergeCell ref="O1:V1"/>
    <mergeCell ref="A1:A3"/>
    <mergeCell ref="B1:B3"/>
    <mergeCell ref="D2:E2"/>
    <mergeCell ref="F1:F3"/>
    <mergeCell ref="G2:H2"/>
    <mergeCell ref="I2:J2"/>
    <mergeCell ref="K2:L2"/>
    <mergeCell ref="M2:N2"/>
    <mergeCell ref="O2:P2"/>
    <mergeCell ref="Q2:R2"/>
    <mergeCell ref="S2:T2"/>
    <mergeCell ref="U2:V2"/>
    <mergeCell ref="C2:C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4:A25"/>
    <mergeCell ref="B24:B25"/>
    <mergeCell ref="C24:C25"/>
    <mergeCell ref="A26:A27"/>
    <mergeCell ref="B26:B27"/>
    <mergeCell ref="C26:C27"/>
    <mergeCell ref="A28:A29"/>
    <mergeCell ref="B28:B29"/>
    <mergeCell ref="C28:C29"/>
    <mergeCell ref="A30:A31"/>
    <mergeCell ref="B30:B31"/>
    <mergeCell ref="C30:C31"/>
    <mergeCell ref="A32:A33"/>
    <mergeCell ref="B32:B33"/>
    <mergeCell ref="C32:C33"/>
    <mergeCell ref="A34:A35"/>
    <mergeCell ref="B34:B35"/>
    <mergeCell ref="C34:C35"/>
    <mergeCell ref="A36:A37"/>
    <mergeCell ref="B36:B37"/>
    <mergeCell ref="C36:C37"/>
    <mergeCell ref="A38:A39"/>
    <mergeCell ref="B38:B39"/>
    <mergeCell ref="C38:C39"/>
  </mergeCells>
  <printOptions gridLines="1" horizontalCentered="1"/>
  <pageMargins left="0.7" right="0.7" top="0.75" bottom="0.75" header="0" footer="0"/>
  <pageSetup paperSize="9" orientation="landscape" horizontalDpi="4294967295" verticalDpi="4294967295" pageOrder="overThenDown" cellComments="atEnd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1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5.13" customWidth="1"/>
    <col min="3" max="3" width="14.63" customWidth="1"/>
    <col min="4" max="4" width="14.13" customWidth="1"/>
    <col min="5" max="5" width="16" customWidth="1"/>
  </cols>
  <sheetData>
    <row r="1" ht="25.5" customHeight="1" spans="1:22" x14ac:dyDescent="0.25">
      <c r="A1" s="55" t="s">
        <v>129</v>
      </c>
      <c r="B1" s="55" t="s">
        <v>1</v>
      </c>
      <c r="C1" s="56" t="s">
        <v>2</v>
      </c>
      <c r="D1" s="3"/>
      <c r="E1" s="4"/>
      <c r="F1" s="57" t="s">
        <v>3</v>
      </c>
      <c r="G1" s="56" t="s">
        <v>4</v>
      </c>
      <c r="H1" s="3"/>
      <c r="I1" s="3"/>
      <c r="J1" s="3"/>
      <c r="K1" s="3"/>
      <c r="L1" s="3"/>
      <c r="M1" s="3"/>
      <c r="N1" s="4"/>
      <c r="O1" s="56" t="s">
        <v>5</v>
      </c>
      <c r="P1" s="3"/>
      <c r="Q1" s="3"/>
      <c r="R1" s="3"/>
      <c r="S1" s="3"/>
      <c r="T1" s="3"/>
      <c r="U1" s="3"/>
      <c r="V1" s="4"/>
    </row>
    <row r="2" ht="27" customHeight="1" spans="1:22" x14ac:dyDescent="0.25">
      <c r="A2" s="7"/>
      <c r="B2" s="7"/>
      <c r="C2" s="57" t="s">
        <v>6</v>
      </c>
      <c r="D2" s="56" t="s">
        <v>7</v>
      </c>
      <c r="E2" s="4"/>
      <c r="F2" s="7"/>
      <c r="G2" s="56" t="s">
        <v>8</v>
      </c>
      <c r="H2" s="4"/>
      <c r="I2" s="56" t="s">
        <v>9</v>
      </c>
      <c r="J2" s="4"/>
      <c r="K2" s="56" t="s">
        <v>10</v>
      </c>
      <c r="L2" s="4"/>
      <c r="M2" s="56" t="s">
        <v>11</v>
      </c>
      <c r="N2" s="4"/>
      <c r="O2" s="56" t="s">
        <v>8</v>
      </c>
      <c r="P2" s="4"/>
      <c r="Q2" s="56" t="s">
        <v>9</v>
      </c>
      <c r="R2" s="4"/>
      <c r="S2" s="56" t="s">
        <v>10</v>
      </c>
      <c r="T2" s="4"/>
      <c r="U2" s="56" t="s">
        <v>11</v>
      </c>
      <c r="V2" s="4"/>
    </row>
    <row r="3" spans="1:22" x14ac:dyDescent="0.25">
      <c r="A3" s="8"/>
      <c r="B3" s="8"/>
      <c r="C3" s="8"/>
      <c r="D3" s="58" t="s">
        <v>12</v>
      </c>
      <c r="E3" s="58" t="s">
        <v>13</v>
      </c>
      <c r="F3" s="8"/>
      <c r="G3" s="58" t="s">
        <v>12</v>
      </c>
      <c r="H3" s="58" t="s">
        <v>13</v>
      </c>
      <c r="I3" s="58" t="s">
        <v>12</v>
      </c>
      <c r="J3" s="58" t="s">
        <v>13</v>
      </c>
      <c r="K3" s="58" t="s">
        <v>12</v>
      </c>
      <c r="L3" s="58" t="s">
        <v>13</v>
      </c>
      <c r="M3" s="58" t="s">
        <v>12</v>
      </c>
      <c r="N3" s="58" t="s">
        <v>13</v>
      </c>
      <c r="O3" s="58" t="s">
        <v>12</v>
      </c>
      <c r="P3" s="58" t="s">
        <v>13</v>
      </c>
      <c r="Q3" s="58" t="s">
        <v>12</v>
      </c>
      <c r="R3" s="58" t="s">
        <v>13</v>
      </c>
      <c r="S3" s="58" t="s">
        <v>12</v>
      </c>
      <c r="T3" s="58" t="s">
        <v>13</v>
      </c>
      <c r="U3" s="58" t="s">
        <v>12</v>
      </c>
      <c r="V3" s="58" t="s">
        <v>13</v>
      </c>
    </row>
    <row r="4" spans="1:22" x14ac:dyDescent="0.25">
      <c r="A4" s="59" t="s">
        <v>130</v>
      </c>
      <c r="B4" s="33"/>
      <c r="C4" s="33"/>
      <c r="D4" s="34"/>
      <c r="E4" s="34"/>
      <c r="F4" s="35"/>
      <c r="G4" s="38"/>
      <c r="H4" s="38"/>
      <c r="I4" s="38"/>
      <c r="J4" s="38"/>
      <c r="K4" s="38"/>
      <c r="L4" s="38"/>
      <c r="M4" s="38"/>
      <c r="N4" s="38"/>
      <c r="O4" s="60"/>
      <c r="P4" s="61"/>
      <c r="Q4" s="61"/>
      <c r="R4" s="61"/>
      <c r="S4" s="61"/>
      <c r="T4" s="61"/>
      <c r="U4" s="61"/>
      <c r="V4" s="61"/>
    </row>
    <row r="5" spans="1:22" x14ac:dyDescent="0.25">
      <c r="A5" s="8"/>
      <c r="B5" s="8"/>
      <c r="C5" s="8"/>
      <c r="D5" s="34"/>
      <c r="E5" s="34"/>
      <c r="F5" s="35"/>
      <c r="G5" s="34"/>
      <c r="H5" s="34"/>
      <c r="I5" s="34"/>
      <c r="J5" s="34"/>
      <c r="K5" s="34"/>
      <c r="L5" s="34"/>
      <c r="M5" s="34"/>
      <c r="N5" s="34"/>
      <c r="O5" s="45"/>
      <c r="P5" s="46"/>
      <c r="Q5" s="46"/>
      <c r="R5" s="46"/>
      <c r="S5" s="46"/>
      <c r="T5" s="46"/>
      <c r="U5" s="46"/>
      <c r="V5" s="46"/>
    </row>
    <row r="6" spans="1:22" x14ac:dyDescent="0.25">
      <c r="A6" s="59" t="s">
        <v>131</v>
      </c>
      <c r="B6" s="33"/>
      <c r="C6" s="33"/>
      <c r="D6" s="34"/>
      <c r="E6" s="34"/>
      <c r="F6" s="35"/>
      <c r="G6" s="41"/>
      <c r="H6" s="42"/>
      <c r="I6" s="42"/>
      <c r="J6" s="42"/>
      <c r="K6" s="42"/>
      <c r="L6" s="42"/>
      <c r="M6" s="42"/>
      <c r="N6" s="42"/>
      <c r="O6" s="43"/>
      <c r="P6" s="44"/>
      <c r="Q6" s="44"/>
      <c r="R6" s="44"/>
      <c r="S6" s="44"/>
      <c r="T6" s="44"/>
      <c r="U6" s="44"/>
      <c r="V6" s="44"/>
    </row>
    <row r="7" spans="1:22" x14ac:dyDescent="0.25">
      <c r="A7" s="8"/>
      <c r="B7" s="8"/>
      <c r="C7" s="8"/>
      <c r="D7" s="34"/>
      <c r="E7" s="34"/>
      <c r="F7" s="35"/>
      <c r="G7" s="34"/>
      <c r="H7" s="34"/>
      <c r="I7" s="34"/>
      <c r="J7" s="34"/>
      <c r="K7" s="34"/>
      <c r="L7" s="34"/>
      <c r="M7" s="34"/>
      <c r="N7" s="34"/>
      <c r="O7" s="45"/>
      <c r="P7" s="46"/>
      <c r="Q7" s="46"/>
      <c r="R7" s="46"/>
      <c r="S7" s="46"/>
      <c r="T7" s="46"/>
      <c r="U7" s="46"/>
      <c r="V7" s="46"/>
    </row>
    <row r="8" spans="1:22" x14ac:dyDescent="0.25">
      <c r="A8" s="59" t="s">
        <v>132</v>
      </c>
      <c r="B8" s="33"/>
      <c r="C8" s="33"/>
      <c r="D8" s="34"/>
      <c r="E8" s="34"/>
      <c r="F8" s="35"/>
      <c r="G8" s="34"/>
      <c r="H8" s="34"/>
      <c r="I8" s="34"/>
      <c r="J8" s="34"/>
      <c r="K8" s="34"/>
      <c r="L8" s="34"/>
      <c r="M8" s="34"/>
      <c r="N8" s="34"/>
      <c r="O8" s="43"/>
      <c r="P8" s="44"/>
      <c r="Q8" s="44"/>
      <c r="R8" s="44"/>
      <c r="S8" s="44"/>
      <c r="T8" s="44"/>
      <c r="U8" s="44"/>
      <c r="V8" s="44"/>
    </row>
    <row r="9" spans="1:22" x14ac:dyDescent="0.25">
      <c r="A9" s="8"/>
      <c r="B9" s="8"/>
      <c r="C9" s="8"/>
      <c r="D9" s="34"/>
      <c r="E9" s="34"/>
      <c r="F9" s="35"/>
      <c r="G9" s="34"/>
      <c r="H9" s="34"/>
      <c r="I9" s="34"/>
      <c r="J9" s="34"/>
      <c r="K9" s="34"/>
      <c r="L9" s="34"/>
      <c r="M9" s="34"/>
      <c r="N9" s="34"/>
      <c r="O9" s="45"/>
      <c r="P9" s="46"/>
      <c r="Q9" s="46"/>
      <c r="R9" s="46"/>
      <c r="S9" s="46"/>
      <c r="T9" s="46"/>
      <c r="U9" s="46"/>
      <c r="V9" s="46"/>
    </row>
    <row r="10" spans="1:22" x14ac:dyDescent="0.25">
      <c r="A10" s="62" t="s">
        <v>64</v>
      </c>
      <c r="B10" s="63">
        <f t="shared" ref="B10:C10" si="0">SUM(B4:B9)</f>
        <v>2136</v>
      </c>
      <c r="C10" s="63"/>
      <c r="D10" s="64">
        <f t="shared" ref="D10:E10" si="1">D4+D6+D8</f>
        <v>347</v>
      </c>
      <c r="E10" s="64"/>
      <c r="F10" s="58"/>
      <c r="G10" s="64">
        <f t="shared" ref="G10:V10" si="2">G4+G6+G8</f>
        <v>35</v>
      </c>
      <c r="H10" s="64"/>
      <c r="I10" s="64"/>
      <c r="J10" s="64"/>
      <c r="K10" s="64"/>
      <c r="L10" s="64"/>
      <c r="M10" s="64"/>
      <c r="N10" s="64"/>
      <c r="O10" s="65"/>
      <c r="P10" s="65"/>
      <c r="Q10" s="65"/>
      <c r="R10" s="65"/>
      <c r="S10" s="65"/>
      <c r="T10" s="65"/>
      <c r="U10" s="65"/>
      <c r="V10" s="65"/>
    </row>
    <row r="11" spans="1:23" x14ac:dyDescent="0.25">
      <c r="A11" s="8"/>
      <c r="B11" s="8"/>
      <c r="C11" s="8"/>
      <c r="D11" s="64">
        <f t="shared" ref="D11:E11" si="3">D5+D7+D9</f>
        <v>421</v>
      </c>
      <c r="E11" s="64"/>
      <c r="F11" s="58"/>
      <c r="G11" s="64">
        <f t="shared" ref="G11:V11" si="4">G5+G7+G9</f>
        <v>83</v>
      </c>
      <c r="H11" s="64"/>
      <c r="I11" s="64"/>
      <c r="J11" s="64"/>
      <c r="K11" s="64"/>
      <c r="L11" s="64"/>
      <c r="M11" s="64"/>
      <c r="N11" s="64"/>
      <c r="O11" s="65"/>
      <c r="P11" s="65"/>
      <c r="Q11" s="65"/>
      <c r="R11" s="65"/>
      <c r="S11" s="65"/>
      <c r="T11" s="65"/>
      <c r="U11" s="65"/>
      <c r="V11" s="65"/>
      <c r="W11" s="65"/>
    </row>
  </sheetData>
  <mergeCells count="28">
    <mergeCell ref="C1:E1"/>
    <mergeCell ref="G1:N1"/>
    <mergeCell ref="O1:V1"/>
    <mergeCell ref="A1:A3"/>
    <mergeCell ref="B1:B3"/>
    <mergeCell ref="D2:E2"/>
    <mergeCell ref="F1:F3"/>
    <mergeCell ref="G2:H2"/>
    <mergeCell ref="I2:J2"/>
    <mergeCell ref="K2:L2"/>
    <mergeCell ref="M2:N2"/>
    <mergeCell ref="O2:P2"/>
    <mergeCell ref="Q2:R2"/>
    <mergeCell ref="S2:T2"/>
    <mergeCell ref="U2:V2"/>
    <mergeCell ref="C2:C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0:A11"/>
    <mergeCell ref="B10:B11"/>
    <mergeCell ref="C10:C1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Grade 4</vt:lpstr>
      <vt:lpstr>Grade 5</vt:lpstr>
      <vt:lpstr>Grade 6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2026-08-20T08:09:07Z</dcterms:created>
  <dcterms:modified xsi:type="dcterms:W3CDTF">2026-08-20T08:09:07Z</dcterms:modified>
</cp:coreProperties>
</file>